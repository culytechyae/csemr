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cdomingo\OneDrive - Malaffi\Documents\FORMS_TEMPLATES_SURVEYS_QUESTIONNAIRES\TEMPLATE - SA\"/>
    </mc:Choice>
  </mc:AlternateContent>
  <xr:revisionPtr revIDLastSave="24" documentId="13_ncr:1_{F731A2C0-2C9B-45B6-9FCC-9D524D4757B7}" xr6:coauthVersionLast="45" xr6:coauthVersionMax="45" xr10:uidLastSave="{E0905F15-8CBD-4BDB-A267-CEDE65456872}"/>
  <bookViews>
    <workbookView xWindow="-120" yWindow="-120" windowWidth="29040" windowHeight="15840" activeTab="1" xr2:uid="{8FC3DFEC-28EC-514A-B3F1-C95A78E9A369}"/>
  </bookViews>
  <sheets>
    <sheet name="Provider Info" sheetId="3" r:id="rId1"/>
    <sheet name="Evaluation" sheetId="1" r:id="rId2"/>
    <sheet name="Evaluation Summary" sheetId="2" r:id="rId3"/>
    <sheet name="GVMetadata" sheetId="4" state="very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8" i="2" l="1"/>
  <c r="C9" i="2" l="1"/>
  <c r="C10" i="2"/>
  <c r="C11" i="2"/>
  <c r="C4" i="2" l="1"/>
  <c r="C13" i="2"/>
  <c r="C3" i="2" s="1"/>
  <c r="A5" i="1" l="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Omar Osman</author>
    <author>Raseeja Siraj</author>
  </authors>
  <commentList>
    <comment ref="B4" authorId="0" shapeId="0" xr:uid="{9D642D71-C83F-4326-82CC-C3050538AB87}">
      <text>
        <r>
          <rPr>
            <b/>
            <sz val="12"/>
            <color indexed="81"/>
            <rFont val="Tahoma"/>
            <family val="2"/>
          </rPr>
          <t>Malaffi:</t>
        </r>
        <r>
          <rPr>
            <sz val="12"/>
            <color indexed="81"/>
            <rFont val="Tahoma"/>
            <family val="2"/>
          </rPr>
          <t xml:space="preserve">
This could also be the group name</t>
        </r>
        <r>
          <rPr>
            <sz val="9"/>
            <color indexed="81"/>
            <rFont val="Tahoma"/>
            <family val="2"/>
          </rPr>
          <t xml:space="preserve"> </t>
        </r>
      </text>
    </comment>
    <comment ref="B13" authorId="1" shapeId="0" xr:uid="{D80CD3BD-9379-4D0C-8839-063E4C9A6395}">
      <text>
        <r>
          <rPr>
            <b/>
            <sz val="9"/>
            <color indexed="81"/>
            <rFont val="Tahoma"/>
            <family val="2"/>
          </rPr>
          <t>Malaffi:</t>
        </r>
        <r>
          <rPr>
            <sz val="9"/>
            <color indexed="81"/>
            <rFont val="Tahoma"/>
            <family val="2"/>
          </rPr>
          <t xml:space="preserve">
Please note inorder to connect to Malaffi it is required to have electronic health information management system in place.</t>
        </r>
      </text>
    </comment>
    <comment ref="B14" authorId="1" shapeId="0" xr:uid="{BF0A5E40-EFD9-4811-9467-6FFE971A1988}">
      <text>
        <r>
          <rPr>
            <b/>
            <sz val="9"/>
            <color indexed="81"/>
            <rFont val="Tahoma"/>
            <family val="2"/>
          </rPr>
          <t>Malaffi:</t>
        </r>
        <r>
          <rPr>
            <sz val="9"/>
            <color indexed="81"/>
            <rFont val="Tahoma"/>
            <family val="2"/>
          </rPr>
          <t xml:space="preserve">
Point of contact for the Provider</t>
        </r>
      </text>
    </comment>
    <comment ref="B17" authorId="1" shapeId="0" xr:uid="{BD2CD08A-4002-4548-BFE8-13911DE7C811}">
      <text>
        <r>
          <rPr>
            <b/>
            <sz val="9"/>
            <color indexed="81"/>
            <rFont val="Tahoma"/>
            <family val="2"/>
          </rPr>
          <t>Malaffi:</t>
        </r>
        <r>
          <rPr>
            <sz val="9"/>
            <color indexed="81"/>
            <rFont val="Tahoma"/>
            <family val="2"/>
          </rPr>
          <t xml:space="preserve">
Person Responsible for security related issues and information in this 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Omar Osman</author>
  </authors>
  <commentList>
    <comment ref="E3" authorId="0" shapeId="0" xr:uid="{348D5D57-7387-4BAF-A602-2CAC7303E19A}">
      <text>
        <r>
          <rPr>
            <b/>
            <sz val="14"/>
            <color indexed="81"/>
            <rFont val="Tahoma"/>
            <family val="2"/>
          </rPr>
          <t>Malaffi:</t>
        </r>
        <r>
          <rPr>
            <sz val="14"/>
            <color indexed="81"/>
            <rFont val="Tahoma"/>
            <family val="2"/>
          </rPr>
          <t xml:space="preserve">
Must select one of the options from the drop down menu. Do not leave any rows blank. It will affect your score. </t>
        </r>
      </text>
    </comment>
    <comment ref="F3" authorId="0" shapeId="0" xr:uid="{3AC06D1C-8415-48A9-95EE-790B9111D028}">
      <text>
        <r>
          <rPr>
            <b/>
            <sz val="14"/>
            <color indexed="81"/>
            <rFont val="Tahoma"/>
            <family val="2"/>
          </rPr>
          <t>Malaffi:</t>
        </r>
        <r>
          <rPr>
            <sz val="9"/>
            <color indexed="81"/>
            <rFont val="Tahoma"/>
            <family val="2"/>
          </rPr>
          <t xml:space="preserve">
</t>
        </r>
        <r>
          <rPr>
            <sz val="14"/>
            <color indexed="81"/>
            <rFont val="Tahoma"/>
            <family val="2"/>
          </rPr>
          <t>This is a mandatory field. For every response you must provide evidence to prove your compliance. If you are not compliant or partially compliant or</t>
        </r>
        <r>
          <rPr>
            <sz val="9"/>
            <color indexed="81"/>
            <rFont val="Tahoma"/>
            <family val="2"/>
          </rPr>
          <t xml:space="preserve"> </t>
        </r>
        <r>
          <rPr>
            <sz val="14"/>
            <color indexed="81"/>
            <rFont val="Tahoma"/>
            <family val="2"/>
          </rPr>
          <t>Not Applicable then you must justify your response</t>
        </r>
        <r>
          <rPr>
            <sz val="9"/>
            <color indexed="81"/>
            <rFont val="Tahoma"/>
            <family val="2"/>
          </rPr>
          <t xml:space="preserve">
</t>
        </r>
      </text>
    </comment>
    <comment ref="G3" authorId="0" shapeId="0" xr:uid="{4C4227FF-2721-41D3-9332-9B037D3E3910}">
      <text>
        <r>
          <rPr>
            <b/>
            <sz val="14"/>
            <color indexed="81"/>
            <rFont val="Tahoma"/>
            <family val="2"/>
          </rPr>
          <t>Malaffi:</t>
        </r>
        <r>
          <rPr>
            <sz val="14"/>
            <color indexed="81"/>
            <rFont val="Tahoma"/>
            <family val="2"/>
          </rPr>
          <t xml:space="preserve">
This column only applies to Partially Compliant and Non Compliant. ADHICS requires you to be fully compliant so you need to address any short comings.  </t>
        </r>
      </text>
    </comment>
  </commentList>
</comments>
</file>

<file path=xl/sharedStrings.xml><?xml version="1.0" encoding="utf-8"?>
<sst xmlns="http://schemas.openxmlformats.org/spreadsheetml/2006/main" count="181" uniqueCount="123">
  <si>
    <t>Security Control Questions</t>
  </si>
  <si>
    <t>Are periodic security awareness campaigns established for the workforce?</t>
  </si>
  <si>
    <t>HR 3.4</t>
  </si>
  <si>
    <t>PE 1.1</t>
  </si>
  <si>
    <t>AC 1</t>
  </si>
  <si>
    <t>Does a formal user registration and de-registration process exist?</t>
  </si>
  <si>
    <t>AC 2.1</t>
  </si>
  <si>
    <t>AC 2.2</t>
  </si>
  <si>
    <t>AC 2.3</t>
  </si>
  <si>
    <t>Are controls in place to protect confidential and secret information on portable or removable media and mobile devices?</t>
  </si>
  <si>
    <t>AC 3.1</t>
  </si>
  <si>
    <t>Are controls in place to manage access to equipment, devices, systems and facilities at teleworking sites?</t>
  </si>
  <si>
    <t>AC 3.2</t>
  </si>
  <si>
    <t>AC 4</t>
  </si>
  <si>
    <t>Is access to your network and network services controlled and based on specific need for which the user is authorized for?</t>
  </si>
  <si>
    <t>Do secure controls exists for remote login? (i.e. IPsec VPN, Multifactor Authentication etc.)</t>
  </si>
  <si>
    <t>Are controls in place to ensure wireless access is secured?</t>
  </si>
  <si>
    <t>AC 5.1</t>
  </si>
  <si>
    <t>AC 5.2</t>
  </si>
  <si>
    <t>AC 5.7</t>
  </si>
  <si>
    <t>Are strong encryption mechanisms in place for all wireless connections?</t>
  </si>
  <si>
    <t>AC 6.1</t>
  </si>
  <si>
    <t>Are secure log-on and log-off procedures to control access to systems and applications enforced?  (i.e. force automatic workstation lock and time-outs etc.)</t>
  </si>
  <si>
    <t>Are processes in place to ensure that all users have a unique identifier (User ID) for access to systems, applications or services?</t>
  </si>
  <si>
    <t>AC 6.2</t>
  </si>
  <si>
    <t>Do Access Control policies and procedures exist to restrict access to information and applications are restricted based on need to know principles and appropriate authorization?</t>
  </si>
  <si>
    <t>Are role-based access mechanisms enforced?</t>
  </si>
  <si>
    <t>Is access to confidential data and systems justified by the individuals responsibilities?</t>
  </si>
  <si>
    <t>AC 7.2</t>
  </si>
  <si>
    <t>AC 7.3</t>
  </si>
  <si>
    <t>Are controls in place to ensure that healthcare information is not exposed to the general public, either accidently or deliberately?</t>
  </si>
  <si>
    <t>OM 1, OM 2</t>
  </si>
  <si>
    <t>Are timely software updates/patches applied to systems, servers and network devices?</t>
  </si>
  <si>
    <t>Has real-time anti-malware protection been deployed on all end user devices and servers?</t>
  </si>
  <si>
    <t>Are anti-malware protection mechanisms regularly updated and current?</t>
  </si>
  <si>
    <t>OM 4.1</t>
  </si>
  <si>
    <t>Is removable media scanned automatically for malware when connected to information systems?</t>
  </si>
  <si>
    <t>Has auto-run features been disabled for removable media?</t>
  </si>
  <si>
    <t>Are monitoring procedures in place for all information systems, applications, devices and equipment?</t>
  </si>
  <si>
    <t>OM 6.1</t>
  </si>
  <si>
    <t>OM 6.2, 
OM 6.3</t>
  </si>
  <si>
    <t>OM 1, 
OM 2, OM 6.5</t>
  </si>
  <si>
    <t>Are periodic independent assessments conducted to ensure information assets are secured and protected?</t>
  </si>
  <si>
    <t>OM 7.1, 
OM 7.2</t>
  </si>
  <si>
    <t>Are policies in place to ensure information in transit and information being exchanged are adequately protected?</t>
  </si>
  <si>
    <t>CM 1.1</t>
  </si>
  <si>
    <t>CM 2.2, 
CM 2.3, 
CM 2.6, 
CM 2.8</t>
  </si>
  <si>
    <t>Are all network components and interconnections identified, documented, controlled and protected?</t>
  </si>
  <si>
    <t>CM 5.1</t>
  </si>
  <si>
    <t>Are procedures in place to regularly identify threats and vulnerabilities affecting network components and the network as a whole?</t>
  </si>
  <si>
    <t>Are security controls implemented and regularly reviewed that address network vulnerabilities?</t>
  </si>
  <si>
    <t>Are controls in place that only allow trusted devices and users access to internal networks?</t>
  </si>
  <si>
    <t>Are procedures in place to continually monitor implemented controls for the efficiency and effectiveness?</t>
  </si>
  <si>
    <t>AC 5.7, 
CM 5.4</t>
  </si>
  <si>
    <t>Have physical, logical and wireless networks bee segregated based on criticality, nature of services and users information systems?</t>
  </si>
  <si>
    <t>CM 5.3</t>
  </si>
  <si>
    <t>HI 1.1, 
HI 2.2</t>
  </si>
  <si>
    <t>Are policies in place to reduce risk probabilities concerning third party access to confidential and sensitive systems, data and networks?</t>
  </si>
  <si>
    <t>TP 1.1</t>
  </si>
  <si>
    <t>Are procedures in place to enforce and monitor adherence to established security policies with third parties?</t>
  </si>
  <si>
    <t>TP 2.1, 
TP 2.2</t>
  </si>
  <si>
    <t>Are policies in place to manage and guide responses to information security incidents?</t>
  </si>
  <si>
    <t>IM 1.1, 
IM 2.2</t>
  </si>
  <si>
    <t>Not Applicable</t>
  </si>
  <si>
    <t>Fully Compliant</t>
  </si>
  <si>
    <t>Partially Compliant</t>
  </si>
  <si>
    <t>Response</t>
  </si>
  <si>
    <t>Non Compliant</t>
  </si>
  <si>
    <t>Have secure mechanisms been put implemented to ensure critical and private information is protected when in transit or being exchanged (i.e. encryption, authentication etc.) ?</t>
  </si>
  <si>
    <t>Have physical and environmental security policies been developed and implemented to ensure adequate physical and environmental protection of information assets?</t>
  </si>
  <si>
    <t>Have access control policies been developed and implemented to ensure appropriate access to information and information systems are adequately controlled and secured?</t>
  </si>
  <si>
    <t>Are user accounts restricted and controlled based on principles of need to know?</t>
  </si>
  <si>
    <t>Are processes in place to review access and privileges granted to its users?</t>
  </si>
  <si>
    <t>Is public and guest access provided to the Wi-Fi network? If so, is it segregated from the internal network?</t>
  </si>
  <si>
    <t>Are policies and procedures in place to ensure support and maintenance activities concerning data, technology and applications controlled? This would include:
  a. Segregation of duties
  b. Configuration management
  c. Change control
  d. Baselines and minimum security configurations
  e. Standard operating procedures
  f. Capacity management
  g. System acceptance
  h. Malware control
  i. Quality management
  j. Backup management
  k. Logging and monitoring
  l. Patch management</t>
  </si>
  <si>
    <t>Are audit logs captured recording administrator, operator and user activities, exceptions and security events?</t>
  </si>
  <si>
    <t>Domain</t>
  </si>
  <si>
    <t>HR Security</t>
  </si>
  <si>
    <t>Physical and Environmental Security</t>
  </si>
  <si>
    <t>Access Control</t>
  </si>
  <si>
    <t>Operations Management</t>
  </si>
  <si>
    <t>Communications</t>
  </si>
  <si>
    <t>Health Information Security</t>
  </si>
  <si>
    <t>Third Party Security</t>
  </si>
  <si>
    <t>Information Security/Incident Management</t>
  </si>
  <si>
    <t>Overall Control Implementation</t>
  </si>
  <si>
    <t/>
  </si>
  <si>
    <t>#</t>
  </si>
  <si>
    <t>ADHICS Control</t>
  </si>
  <si>
    <t>Total</t>
  </si>
  <si>
    <t>No. of "Not Applicable" Contols</t>
  </si>
  <si>
    <t>Total Applicable Controls</t>
  </si>
  <si>
    <t>Control Status</t>
  </si>
  <si>
    <t>Definition</t>
  </si>
  <si>
    <t>The control/sub-control is fully implemented, has been established and has a process, and is regularly updated.</t>
  </si>
  <si>
    <t>The control/sub-control is implemented but not across all of the entity's information systems, and a process has not been fully established, or is outdated.</t>
  </si>
  <si>
    <t xml:space="preserve">The control/sub-control is not planned nor implemented. </t>
  </si>
  <si>
    <t>The control is not applicable.</t>
  </si>
  <si>
    <t>Are policies in place to  ensure managements commitment to protect healthcare information?</t>
  </si>
  <si>
    <t>Are processes in place to ensure the secure allocation, use and management of security credentials? (i.e. default application passwords are changed and not used, passwords are always encrypted, strong password enforcement etc.)</t>
  </si>
  <si>
    <t>Plans to be compliant (if partially compliant / not compliant)</t>
  </si>
  <si>
    <t>Evidence (if fully compliant) / Justification (if not applicable)</t>
  </si>
  <si>
    <t>Target date of Compliance</t>
  </si>
  <si>
    <t xml:space="preserve">Provider/Participant Name: </t>
  </si>
  <si>
    <t>Email Address of Person Responsible:</t>
  </si>
  <si>
    <t>Name of Person Responsible:</t>
  </si>
  <si>
    <t>Mobile Number of Person Responsible:</t>
  </si>
  <si>
    <t>Name of Chief Information Security Officer (CISO) / Chief Cyber Security Officer (CCSO)/or similar:</t>
  </si>
  <si>
    <t>Email Address of CISO / CCSO/or similar:</t>
  </si>
  <si>
    <t>Mobile Number of CISO / CCSO/or similar:</t>
  </si>
  <si>
    <r>
      <t xml:space="preserve">The purpose of the survey is to assist the ADHIE team in gathering initial information about your organization to assist with the implementaiton planning efforts. Please complete the survey based on information that reflects your organization as of today. If you have any questions reach out to </t>
    </r>
    <r>
      <rPr>
        <u/>
        <sz val="12"/>
        <color rgb="FF0070C0"/>
        <rFont val="Calibri"/>
        <family val="2"/>
        <scheme val="minor"/>
      </rPr>
      <t>ISO@malaffi.ae</t>
    </r>
    <r>
      <rPr>
        <sz val="12"/>
        <color theme="1"/>
        <rFont val="Calibri"/>
        <family val="2"/>
        <scheme val="minor"/>
      </rPr>
      <t xml:space="preserve">. 
</t>
    </r>
    <r>
      <rPr>
        <b/>
        <sz val="12"/>
        <color theme="1"/>
        <rFont val="Calibri"/>
        <family val="2"/>
        <scheme val="minor"/>
      </rPr>
      <t xml:space="preserve">Make sure you read the comments embeded within the excel for instructions. </t>
    </r>
  </si>
  <si>
    <t>Submission Date</t>
  </si>
  <si>
    <t>If you have an electronic health information management system  (i.e. - EMR, LIS or Similar?), what is the Type?</t>
  </si>
  <si>
    <t xml:space="preserve">Who is your electronic health information management system vendor? </t>
  </si>
  <si>
    <t xml:space="preserve">If you do not have an electronic health information management system, what is your projected timeline for implementing? </t>
  </si>
  <si>
    <t>FACILITY NAME</t>
  </si>
  <si>
    <t>List of Facility/ies DoH License nos. (MF or PF)  WHO SHARE THE SAME ELECTRONIC HEALTH INFORMATION MANAGEMENT SYSTEM AND SECURITY POLICIES.
(Please add rows if needed)</t>
  </si>
  <si>
    <t>FACILITY LICENSE NO.</t>
  </si>
  <si>
    <t>Provider Information</t>
  </si>
  <si>
    <t>GVData</t>
  </si>
  <si>
    <t>ew0KICAiZG9jSUQiOiAiNjE1YjI3MzEtYTdiMi00M2RkLWFmMjMtN2Q2NDUwN2Q4MjBhIg0KfQ==</t>
  </si>
  <si>
    <t>GVData0</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</si>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</sst>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20" x14ac:knownFonts="1">
    <font>
      <sz val="12"/>
      <color theme="1"/>
      <name val="Calibri"/>
      <family val="2"/>
      <scheme val="minor"/>
    </font>
    <font>
      <sz val="11"/>
      <color theme="1"/>
      <name val="Calibri"/>
      <family val="2"/>
      <scheme val="minor"/>
    </font>
    <font>
      <b/>
      <sz val="12"/>
      <color theme="1"/>
      <name val="Calibri"/>
      <family val="2"/>
      <scheme val="minor"/>
    </font>
    <font>
      <sz val="11"/>
      <color theme="1"/>
      <name val="Arial"/>
      <family val="2"/>
    </font>
    <font>
      <b/>
      <sz val="11"/>
      <color theme="0"/>
      <name val="Calibri"/>
      <family val="2"/>
      <scheme val="minor"/>
    </font>
    <font>
      <sz val="11"/>
      <color theme="0"/>
      <name val="Calibri"/>
      <family val="2"/>
      <scheme val="minor"/>
    </font>
    <font>
      <sz val="12"/>
      <color theme="0"/>
      <name val="Calibri"/>
      <family val="2"/>
      <scheme val="minor"/>
    </font>
    <font>
      <b/>
      <sz val="12"/>
      <color theme="0"/>
      <name val="Calibri"/>
      <family val="2"/>
      <scheme val="minor"/>
    </font>
    <font>
      <sz val="12"/>
      <name val="Calibri"/>
      <family val="2"/>
      <scheme val="minor"/>
    </font>
    <font>
      <sz val="11"/>
      <name val="Calibri"/>
      <family val="2"/>
      <scheme val="minor"/>
    </font>
    <font>
      <sz val="16"/>
      <color theme="0"/>
      <name val="Calibri"/>
      <family val="2"/>
      <scheme val="minor"/>
    </font>
    <font>
      <sz val="9"/>
      <color indexed="81"/>
      <name val="Tahoma"/>
      <family val="2"/>
    </font>
    <font>
      <b/>
      <sz val="9"/>
      <color indexed="81"/>
      <name val="Tahoma"/>
      <family val="2"/>
    </font>
    <font>
      <sz val="12"/>
      <color indexed="81"/>
      <name val="Tahoma"/>
      <family val="2"/>
    </font>
    <font>
      <sz val="14"/>
      <color indexed="81"/>
      <name val="Tahoma"/>
      <family val="2"/>
    </font>
    <font>
      <b/>
      <sz val="12"/>
      <color indexed="81"/>
      <name val="Tahoma"/>
      <family val="2"/>
    </font>
    <font>
      <b/>
      <sz val="14"/>
      <color indexed="81"/>
      <name val="Tahoma"/>
      <family val="2"/>
    </font>
    <font>
      <b/>
      <sz val="12"/>
      <color rgb="FFFF0000"/>
      <name val="Calibri"/>
      <family val="2"/>
      <scheme val="minor"/>
    </font>
    <font>
      <u/>
      <sz val="12"/>
      <color rgb="FF0070C0"/>
      <name val="Calibri"/>
      <family val="2"/>
      <scheme val="minor"/>
    </font>
    <font>
      <b/>
      <sz val="12"/>
      <name val="Calibri"/>
      <family val="2"/>
      <scheme val="minor"/>
    </font>
  </fonts>
  <fills count="9">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92D050"/>
        <bgColor indexed="64"/>
      </patternFill>
    </fill>
    <fill>
      <patternFill patternType="solid">
        <fgColor theme="7" tint="0.59999389629810485"/>
        <bgColor indexed="64"/>
      </patternFill>
    </fill>
    <fill>
      <patternFill patternType="solid">
        <fgColor rgb="FFF67A8C"/>
        <bgColor indexed="64"/>
      </patternFill>
    </fill>
    <fill>
      <patternFill patternType="solid">
        <fgColor theme="0" tint="-0.14999847407452621"/>
        <bgColor indexed="64"/>
      </patternFill>
    </fill>
  </fills>
  <borders count="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s>
  <cellStyleXfs count="1">
    <xf numFmtId="0" fontId="0" fillId="0" borderId="0"/>
  </cellStyleXfs>
  <cellXfs count="46">
    <xf numFmtId="0" fontId="0" fillId="0" borderId="0" xfId="0"/>
    <xf numFmtId="0" fontId="2" fillId="0" borderId="0" xfId="0" applyFont="1"/>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vertical="center" wrapText="1"/>
    </xf>
    <xf numFmtId="0" fontId="7" fillId="3" borderId="2" xfId="0" applyFont="1" applyFill="1" applyBorder="1" applyAlignment="1">
      <alignment horizontal="center" vertical="center" wrapText="1"/>
    </xf>
    <xf numFmtId="0" fontId="0" fillId="0" borderId="0" xfId="0" applyAlignment="1">
      <alignment vertical="center"/>
    </xf>
    <xf numFmtId="0" fontId="8" fillId="0" borderId="1" xfId="0" applyFont="1" applyBorder="1" applyAlignment="1" applyProtection="1">
      <alignment horizontal="left" vertical="center"/>
      <protection hidden="1"/>
    </xf>
    <xf numFmtId="0" fontId="1" fillId="0" borderId="2" xfId="0" applyFont="1" applyBorder="1" applyAlignment="1">
      <alignment horizontal="left" indent="1"/>
    </xf>
    <xf numFmtId="0" fontId="1" fillId="0" borderId="2" xfId="0" applyFont="1" applyBorder="1" applyAlignment="1">
      <alignment horizontal="center" vertical="center"/>
    </xf>
    <xf numFmtId="0" fontId="5" fillId="3" borderId="2" xfId="0" applyFont="1" applyFill="1" applyBorder="1" applyAlignment="1">
      <alignment horizontal="left" indent="1"/>
    </xf>
    <xf numFmtId="0" fontId="5" fillId="3" borderId="2" xfId="0" applyFont="1" applyFill="1" applyBorder="1" applyAlignment="1">
      <alignment horizontal="center" vertical="center"/>
    </xf>
    <xf numFmtId="0" fontId="5" fillId="3" borderId="2" xfId="0" applyFont="1" applyFill="1" applyBorder="1"/>
    <xf numFmtId="0" fontId="9" fillId="5" borderId="2" xfId="0" applyFont="1" applyFill="1" applyBorder="1"/>
    <xf numFmtId="0" fontId="9" fillId="6" borderId="2" xfId="0" applyFont="1" applyFill="1" applyBorder="1"/>
    <xf numFmtId="0" fontId="9" fillId="7" borderId="2" xfId="0" applyFont="1" applyFill="1" applyBorder="1"/>
    <xf numFmtId="0" fontId="9" fillId="8" borderId="2" xfId="0" applyFont="1" applyFill="1" applyBorder="1"/>
    <xf numFmtId="0" fontId="4" fillId="3" borderId="2" xfId="0" applyFont="1" applyFill="1" applyBorder="1" applyAlignment="1" applyProtection="1">
      <alignment horizontal="left" vertical="center" wrapText="1" indent="1"/>
      <protection hidden="1"/>
    </xf>
    <xf numFmtId="9" fontId="3" fillId="0" borderId="2" xfId="0" applyNumberFormat="1" applyFont="1" applyBorder="1" applyAlignment="1" applyProtection="1">
      <alignment horizontal="center" vertical="center"/>
      <protection hidden="1"/>
    </xf>
    <xf numFmtId="0" fontId="3" fillId="0" borderId="2" xfId="0" applyFont="1" applyBorder="1" applyAlignment="1" applyProtection="1">
      <alignment horizontal="center" vertical="center"/>
      <protection hidden="1"/>
    </xf>
    <xf numFmtId="0" fontId="6" fillId="3" borderId="2" xfId="0" applyFont="1" applyFill="1" applyBorder="1" applyAlignment="1">
      <alignment horizontal="center" vertical="center" wrapText="1"/>
    </xf>
    <xf numFmtId="0" fontId="0" fillId="0" borderId="2" xfId="0" applyBorder="1" applyAlignment="1">
      <alignment horizontal="left" vertical="center" wrapText="1"/>
    </xf>
    <xf numFmtId="0" fontId="2" fillId="4" borderId="1" xfId="0" applyFont="1" applyFill="1" applyBorder="1" applyAlignment="1" applyProtection="1">
      <alignment horizontal="left" vertical="center" wrapText="1"/>
      <protection hidden="1"/>
    </xf>
    <xf numFmtId="0" fontId="0" fillId="0" borderId="1" xfId="0" applyBorder="1"/>
    <xf numFmtId="0" fontId="19" fillId="4" borderId="1" xfId="0" applyFont="1" applyFill="1" applyBorder="1" applyAlignment="1" applyProtection="1">
      <alignment horizontal="left" vertical="center" wrapText="1"/>
      <protection hidden="1"/>
    </xf>
    <xf numFmtId="0" fontId="8" fillId="8" borderId="1" xfId="0" applyFont="1" applyFill="1" applyBorder="1" applyAlignment="1" applyProtection="1">
      <alignment horizontal="center" vertical="center" wrapText="1"/>
      <protection hidden="1"/>
    </xf>
    <xf numFmtId="0" fontId="0" fillId="8" borderId="1" xfId="0" applyFill="1" applyBorder="1" applyAlignment="1">
      <alignment horizontal="center" vertical="center"/>
    </xf>
    <xf numFmtId="0" fontId="17" fillId="0" borderId="3" xfId="0" applyFont="1" applyBorder="1" applyAlignment="1" applyProtection="1">
      <alignment horizontal="left" vertical="center"/>
      <protection hidden="1"/>
    </xf>
    <xf numFmtId="0" fontId="17" fillId="0" borderId="4" xfId="0" applyFont="1" applyBorder="1" applyAlignment="1" applyProtection="1">
      <alignment horizontal="left" vertical="center"/>
      <protection hidden="1"/>
    </xf>
    <xf numFmtId="0" fontId="2" fillId="4" borderId="1" xfId="0" applyFont="1" applyFill="1" applyBorder="1" applyAlignment="1" applyProtection="1">
      <alignment horizontal="left" vertical="center" wrapText="1"/>
      <protection hidden="1"/>
    </xf>
    <xf numFmtId="0" fontId="10" fillId="3" borderId="3" xfId="0" applyFont="1" applyFill="1" applyBorder="1" applyAlignment="1" applyProtection="1">
      <alignment horizontal="center" vertical="center" wrapText="1"/>
      <protection hidden="1"/>
    </xf>
    <xf numFmtId="0" fontId="10" fillId="3" borderId="5"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0" fillId="2" borderId="3" xfId="0" applyFont="1" applyFill="1" applyBorder="1" applyAlignment="1" applyProtection="1">
      <alignment horizontal="center" vertical="center" wrapText="1"/>
      <protection hidden="1"/>
    </xf>
    <xf numFmtId="0" fontId="0" fillId="2" borderId="5" xfId="0" applyFont="1" applyFill="1" applyBorder="1" applyAlignment="1" applyProtection="1">
      <alignment horizontal="center" vertical="center" wrapText="1"/>
      <protection hidden="1"/>
    </xf>
    <xf numFmtId="0" fontId="0" fillId="2" borderId="4" xfId="0" applyFont="1" applyFill="1" applyBorder="1" applyAlignment="1" applyProtection="1">
      <alignment horizontal="center" vertical="center" wrapText="1"/>
      <protection hidden="1"/>
    </xf>
    <xf numFmtId="0" fontId="8" fillId="0" borderId="3" xfId="0" applyFont="1" applyBorder="1" applyAlignment="1" applyProtection="1">
      <alignment horizontal="left" vertical="center"/>
      <protection hidden="1"/>
    </xf>
    <xf numFmtId="0" fontId="8" fillId="0" borderId="4" xfId="0" applyFont="1" applyBorder="1" applyAlignment="1" applyProtection="1">
      <alignment horizontal="left" vertical="center"/>
      <protection hidden="1"/>
    </xf>
    <xf numFmtId="164" fontId="8" fillId="0" borderId="3" xfId="0" applyNumberFormat="1" applyFont="1" applyBorder="1" applyAlignment="1" applyProtection="1">
      <alignment horizontal="left" vertical="center"/>
      <protection hidden="1"/>
    </xf>
    <xf numFmtId="164" fontId="8" fillId="0" borderId="4" xfId="0" applyNumberFormat="1" applyFont="1" applyBorder="1" applyAlignment="1" applyProtection="1">
      <alignment horizontal="left" vertical="center"/>
      <protection hidden="1"/>
    </xf>
    <xf numFmtId="0" fontId="5" fillId="3" borderId="2" xfId="0" applyFont="1" applyFill="1" applyBorder="1" applyAlignment="1">
      <alignment horizontal="center"/>
    </xf>
    <xf numFmtId="0" fontId="9" fillId="0" borderId="2" xfId="0" applyFont="1" applyBorder="1" applyAlignment="1">
      <alignment horizontal="left"/>
    </xf>
  </cellXfs>
  <cellStyles count="1">
    <cellStyle name="Normal" xfId="0" builtinId="0"/>
  </cellStyles>
  <dxfs count="4">
    <dxf>
      <fill>
        <patternFill>
          <bgColor theme="9" tint="0.39994506668294322"/>
        </patternFill>
      </fill>
    </dxf>
    <dxf>
      <fill>
        <patternFill>
          <bgColor theme="7" tint="0.59996337778862885"/>
        </patternFill>
      </fill>
    </dxf>
    <dxf>
      <fill>
        <patternFill>
          <bgColor rgb="FFFA6666"/>
        </patternFill>
      </fill>
    </dxf>
    <dxf>
      <fill>
        <patternFill>
          <bgColor theme="0" tint="-0.14996795556505021"/>
        </patternFill>
      </fill>
    </dxf>
  </dxfs>
  <tableStyles count="0" defaultTableStyle="TableStyleMedium2" defaultPivotStyle="PivotStyleLight16"/>
  <colors>
    <mruColors>
      <color rgb="FFFA6666"/>
      <color rgb="FFF67A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Compliance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5E3-4FAA-AF60-D80F9E15E8B6}"/>
              </c:ext>
            </c:extLst>
          </c:dPt>
          <c:dPt>
            <c:idx val="1"/>
            <c:bubble3D val="0"/>
            <c:spPr>
              <a:solidFill>
                <a:schemeClr val="accent4">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25E3-4FAA-AF60-D80F9E15E8B6}"/>
              </c:ext>
            </c:extLst>
          </c:dPt>
          <c:dPt>
            <c:idx val="2"/>
            <c:bubble3D val="0"/>
            <c:spPr>
              <a:solidFill>
                <a:srgbClr val="FA666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5E3-4FAA-AF60-D80F9E15E8B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'Evaluation Summary'!$B$8:$B$10</c:f>
              <c:strCache>
                <c:ptCount val="3"/>
                <c:pt idx="0">
                  <c:v>Fully Compliant</c:v>
                </c:pt>
                <c:pt idx="1">
                  <c:v>Partially Compliant</c:v>
                </c:pt>
                <c:pt idx="2">
                  <c:v>Non Compliant</c:v>
                </c:pt>
              </c:strCache>
            </c:strRef>
          </c:cat>
          <c:val>
            <c:numRef>
              <c:f>'Evaluation Summary'!$C$8:$C$10</c:f>
              <c:numCache>
                <c:formatCode>General</c:formatCode>
                <c:ptCount val="3"/>
                <c:pt idx="0">
                  <c:v>0</c:v>
                </c:pt>
                <c:pt idx="1">
                  <c:v>0</c:v>
                </c:pt>
                <c:pt idx="2">
                  <c:v>0</c:v>
                </c:pt>
              </c:numCache>
            </c:numRef>
          </c:val>
          <c:extLst>
            <c:ext xmlns:c16="http://schemas.microsoft.com/office/drawing/2014/chart" uri="{C3380CC4-5D6E-409C-BE32-E72D297353CC}">
              <c16:uniqueId val="{00000000-25E3-4FAA-AF60-D80F9E15E8B6}"/>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4040909</xdr:colOff>
      <xdr:row>0</xdr:row>
      <xdr:rowOff>111606</xdr:rowOff>
    </xdr:from>
    <xdr:to>
      <xdr:col>2</xdr:col>
      <xdr:colOff>1104246</xdr:colOff>
      <xdr:row>0</xdr:row>
      <xdr:rowOff>1166976</xdr:rowOff>
    </xdr:to>
    <xdr:pic>
      <xdr:nvPicPr>
        <xdr:cNvPr id="2" name="Picture 1" descr="Macintosh HD:private:var:folders:vr:wgjqd34d1qz12ptjh0_l1y0c0000gn:T:TemporaryItems:Malaffi_Logo_with_Tag.png">
          <a:extLst>
            <a:ext uri="{FF2B5EF4-FFF2-40B4-BE49-F238E27FC236}">
              <a16:creationId xmlns:a16="http://schemas.microsoft.com/office/drawing/2014/main" id="{4B3C47FD-DE45-42F9-AF0E-ABF6BD508E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1818" y="111606"/>
          <a:ext cx="1288973" cy="1055370"/>
        </a:xfrm>
        <a:prstGeom prst="rect">
          <a:avLst/>
        </a:prstGeom>
        <a:noFill/>
        <a:ln>
          <a:noFill/>
        </a:ln>
      </xdr:spPr>
    </xdr:pic>
    <xdr:clientData/>
  </xdr:twoCellAnchor>
  <xdr:twoCellAnchor>
    <xdr:from>
      <xdr:col>1</xdr:col>
      <xdr:colOff>2302</xdr:colOff>
      <xdr:row>0</xdr:row>
      <xdr:rowOff>1081983</xdr:rowOff>
    </xdr:from>
    <xdr:to>
      <xdr:col>3</xdr:col>
      <xdr:colOff>3151909</xdr:colOff>
      <xdr:row>0</xdr:row>
      <xdr:rowOff>1830295</xdr:rowOff>
    </xdr:to>
    <xdr:sp macro="" textlink="">
      <xdr:nvSpPr>
        <xdr:cNvPr id="3" name="TextBox 2">
          <a:extLst>
            <a:ext uri="{FF2B5EF4-FFF2-40B4-BE49-F238E27FC236}">
              <a16:creationId xmlns:a16="http://schemas.microsoft.com/office/drawing/2014/main" id="{746A1B84-A1F5-4E84-89EA-E7313CE1A939}"/>
            </a:ext>
          </a:extLst>
        </xdr:cNvPr>
        <xdr:cNvSpPr txBox="1"/>
      </xdr:nvSpPr>
      <xdr:spPr>
        <a:xfrm>
          <a:off x="233211" y="1081983"/>
          <a:ext cx="8864607" cy="7483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Malaffi</a:t>
          </a:r>
          <a:r>
            <a:rPr lang="en-US" sz="2400" b="1" baseline="0"/>
            <a:t> Security Assessment</a:t>
          </a:r>
        </a:p>
        <a:p>
          <a:pPr algn="ctr"/>
          <a:r>
            <a:rPr lang="en-US" sz="1600" b="0" baseline="0"/>
            <a:t>Version 3</a:t>
          </a:r>
          <a:endParaRPr lang="en-US" sz="1600" b="0"/>
        </a:p>
      </xdr:txBody>
    </xdr:sp>
    <xdr:clientData/>
  </xdr:twoCellAnchor>
  <xdr:twoCellAnchor editAs="oneCell">
    <xdr:from>
      <xdr:col>7</xdr:col>
      <xdr:colOff>0</xdr:colOff>
      <xdr:row>11</xdr:row>
      <xdr:rowOff>0</xdr:rowOff>
    </xdr:from>
    <xdr:to>
      <xdr:col>7</xdr:col>
      <xdr:colOff>304800</xdr:colOff>
      <xdr:row>11</xdr:row>
      <xdr:rowOff>304800</xdr:rowOff>
    </xdr:to>
    <xdr:sp macro="" textlink="">
      <xdr:nvSpPr>
        <xdr:cNvPr id="1029" name="avatar" descr="data:image/pjpeg;base64,/9j/4AAQSkZJRgABAQEAYABgAAD/2wBDAAEBAQEBAQEBAQEBAQEBAQEBAQEBAQEBAQEBAQEBAQEBAQEBAQEBAQEBAQEBAQEBAQEBAQEBAQEBAQEBAQEBAQH/2wBDAQEBAQEBAQEBAQEBAQEBAQEBAQEBAQEBAQEBAQEBAQEBAQEBAQEBAQEBAQEBAQEBAQEBAQEBAQEBAQEBAQEBAQH/wAARCABAAE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f49fHr452Hxz+NFjY/Gf4sWVlZfFj4i2lnZ2nxF8YW1raWtt4w1iG3tra3h1hIYLeCFEihhiRI4o0VEVVUAeT/8NC/H7/ouPxg/8OX40/8Al1Un7QEUk/7QPxuiiQvI/wAYfiWqqOpP/Caa2e/AAGSzEhVUFmIAJrntJ0WG0CSuBLcgHdKc7E3DBWEHGBjjeR5jAtnYrlFAO7svjF+0feAMfjb8XrWMkc3HxM8ao5G4q2IhrLSBlxuxKIlYFSGwwNddp3xD/aCu3fPx3+NM8cYUu0HxG8YW6xBmCL5kkmuXCAs7BVXAJPTcAcHw+8ES+LNSZZvNt9G05YbjWr6N7eJoYJJRHBZ2j3bJA+pXz71tosTPDBDfapLbyafpV+0f1jp3wh1690G38XSeH9Vsfh2txNpnhTSLWOa3j8aeIQVefQhqAuIw+l6PEgl8TXUVzc63c3j2llG0E2r/ANpaLhUxeGoyarTSasrXs3OVuSnHvUkm58v2KadSfLD3jqpYSvWipQg2pN20fwx0lN9VCL926TcptU4KU9D5rPin9oa4Rvsfx3+NMbEZheb4k+NLiKcrJsaON49St08w5UhHlWQBo2eMI+5eK1X4mftLabJIg+N/xenMT+WyN8SvGlvOGABfKSa4YsKSAAtw7sGUhOTj0uw+EXxd+J2pT2/gXwB4o8Y3EcjJdR+F9CvrzT7GMTMixINJtJbG2s4mYQW8NuUHUqHVVeSn4y8F/EPwFFDofxK8E+K/B+sWxgVLTxXo+o6Ncy22AUlmg1GGzlnDo0C+YEjhzCkjujtul6k6cmoxnByaTcFNc8dIvbdvXW8U7mUqU4rmlCoo30m4Pkf/AG8rrfqpM8Pk/aB/aChdopvjb8Y4pEOGjk+JPjZHU4BAZW1oEZBBGR0IPSmf8NC/H7/ouPxg/wDDl+NP/l1U+s6PYapECMP8o8m5QKJkK5yu7LBhu3h4yTHySFWQKyeT6jp82nXDQS4YfeilUYWVM8NjJ2sOjoSSp7spV2gzd07PofQnxosRD8d/jhcuD5tx8X/iXt/2IP8AhNNaK4GODJ98nJGzy8BSGzylnHkjA68/Xjjjvxxx6cCvQvjqM/HT4y/9lX+In/qX6wK9D/Zb+F0vxZ+NPw+8LS6Yuo6HN4m0668SpdXUOm6d/YOms2rata6hql1NbW2m29/pthe2kl7PcwR2kckt47rDaykc+LxNLB4XEYus+WjhqNSvUe1oUoOct+tlZeZrh6FTFV6OGpK9SvVp0aa/v1JKEfxep+g3wm/Zrh8J2Xw3+G/iAGDxj48t4/F3jue2is5pPA9i0+nJaRasNRs9F8y+05ry08M23hrU9ZszB8QYbrT9C154/HcdlefQn7Svij4fBZtE+EVl4Z8L+DNH8PaN4Zm8ReFdJs3vNf06WxkTQ/B/h2+stK07xV4m1PxNqRbxZr2ualBD4p0LwVdeAfhr4tuF8S+HvFZ1Difit8TRb+NNQ0bwfq+jSaHdym1+IPxRtXtJYtT0yKPVdG1waQs9m91qi31tq+tHxl4q8TQaroCWHiDVfDb6X4N8Ea94/wBO8e/Xv7GH/BPXWf8AgoX4q1/4ua3pWseE/wBmjwprDyaJdw3+qaXfeNPGBne91nWb7VW1Ea1qNyk0rza1rlzfXl42pTyaZ/a2pXsd7qsH5HQxeZ5jjMDjsXWlRwyc8TONOLk1KtU53KUHZSqezjCjh6StKlRpupUko1JU6/7FQy3D0KGKwWDwqr4iNKNKPO+SPLSgoK81dxh7SUqlao7+0rThThecVUo/qr/wS4/Z3+HPw/8AgVpuo6Bqvg3xP4w1SC3ufFr6P4isJdW8OXV7bpcQ+HfEelkpe6BrUaqDd6VqVtY3cFyJY3tgIhM/zx/wVG+F3hH4sfCb4g6NY/2Tea9o2j3+v6HFa3lhrF9pWoaRE19cM0VlcTXVsssKRwSmPy96y/Jkyqlfo5oX7LPhb4Dfs7/GDwT4AuNb8Q2nivw1BaahrGoXs+tai2nRSJbS6VpmqapNq0xtb+wudVidcXNuk1+8YgNo9pYQ/nbe/sQw/CDT7TVtP+JkLfDeCw8WXz+Cb3wD4GUytq2garZQ69oni3wtofhO90a8uLS5lPiK6uJPFceoaJPc6HZy6Zo11LEPSoKhWx1TFxx04VsNiYVKDq0qkp4makna9Om+RS+H3pWd3FtLV92LpYqhl9PAyyxVKGJwlSliVSnTjTwlNU0tYzq6qn8ScFJ+7fl1SX8X8ekLLp+oX8Tv5MEK3Ch0HzH7VbWZRSrNh5Eu4rjh2CIhDvI8iEeea5pyXsLxfL5qEmCQgjZIBnqOQkn3HGGGMMAWRTXvHhvSLw/BbWfEL+ZJZXWsrpkU8iRCT7T9t0q7S0Ck70jezja8MiAR7gsSszmRF8ZuvvH6nH6f0r9NhUVSpiktqWIdNW20o0ZtLr8U3e+tz8Rr0/Zxwz61cPGo/nVqxW392Ef+GPSfjkCfjp8Zsf8ARWPiH09R4v1g47exPI4PUV9ef8E9PEvhDwJ8U/Enjz4haPc+I/CHhzwXrEH/AAiGnaHLruseNvE/iNG8P+G/ClnDZafdalHDcpfarqupNHe6Dp1xZaPNY6pqyQXsenaj8kfHBf8Ai+XxmyCT/wALY+IhGPX/AIS/WMfp157g8YOfpf8AYXsvDmofFXX9K8TTrbQ6p8LvH8OjTSXkNilrrVjpcOojUhdXCTR2l3o+l22p6lp00ltKr3trFbqvmSF4/E4qipcO5upKbp/VJusqbcajoRlGWIUJLWE3QVRRmk3CVpLY9Phv/ke5WrpSeKhGm38KrSTjRcldXgqzhzK65o3jdN3Og/bA8VfF+38aaNpn/COQeDbTX7jUZND8M6VNZy3enWt34m8QeFJrKw0HToY9H0ma/ufComvjpFkhurqLR7iwex09dMs2/u08J/B2Cf8AZ58IaL+y5qWnr4Rj8M6Lf+H/AAPH4ibwto3i/SbbTZdTTSbvxrpeh+J77w7beIboQrqviLT9C1a6hbUHvLK3juna4H8pXjT4ZeD/AIlfGb4X/EP40+IfEvh/QNP2t8aoPCWkOfGXhL4aatNbwa78QPAth/Yvi271aHSda1LUvEFu9loFz9q0/wAT22iarD4auYfEupeGf6Yvgy+q/s9/DTwTB+zv40sfjp8MtK8NQTeCtZudUaQfEv4VwTSaX4b8X6VrD2mnBPEs2nWlppHxI0O50jSH0jx1a6o1np9no1zol5rPwdfF5e8nySvhuSH1WpOljqalK1q3slTnKcpXqQapcqnzciVSMXKPPG/6vkP9pYTO88oYhyccVSoVMHUaik40XOVSlGMOX2bftVeEUqk/ZSkruDa5P9qK40O78CPqmsfBbwP4f8ZXXhaOHWvAdh448UfDrx/rNz4WuJ7Hwxoct98P/h14k8LeJ9NtbCWW40DTNf8AiNbaZBFfXNvqFrpchngb44+PPj74j+BP2L/HHjHVILTwNFc/s/8AxN8QeHvB2s38Gqat4Unl8FanaWGhXd5DeXli+oPqobTrZLS7uEt5JFjs2kS3imP1h+0T/wAFYPgGPD+oafrngfxlYfEDRorjRJvCmo+G7m9vxqxDMfK1Ai50WKFEDC3ml1Gxe6jjkugioViH8nv7Zn/BQbx5+2t4ttfg1oeh3vhr4dWPiCx02/063nWe58XXmn6xvj/tX7HM1rZeHtMkN9q9olu9+bzUILW9usf6KLD2cPGnmNWnLDUYUKWHqRxGIxHPKUPZQUW+SN7JzUUoKKk+b4p8qbXRxBnOFwGD5L1ZYvE0a2EhRcqU3OrUdoxUaGEw8aVOHPzS5nKSjolzNRn833Ojf2d+x3dvPaNHcRfFzwOkTlQuEn8J+Pra4Mi+WgxL/Y1uLYkvKPLnD7ARHH8WXhwT25OM+uOhPT09O56V+q/x18G/8Ih+yPq0c9ss2744fDS1stRkG+6ntLfwZ8ddGld3K7ik1zpMUjb52kC+U7q8syvH+U96pySeTnr+uc+/P5Yr6fIcVHGYfGV4u98xxMW+8oxpJv1+8/IM+w0sJicLQaa5cvwrSfRSU5b6X1b6ffu/b/inol54g+OXxpNgsHkW/wAWPiELq6u7iGytLdj421m22yT3TRq8gkSVlt4Fmu5obeea3gmjhkZPsT9nj48fDr9mYaVd2nwz0vx74hdLh/FniGXUZ7DVb7i4k07TPDWp3+j31rpPh+yuzZXmq2p0WS/8TiC4gub/AEhv7Lm0f4R+JHi99G/aE+N+j3syx6Pd/Gr4nXCyudosL6bxhqkL3G/7vkXSW1rDdeYCsYggnV4kinWfs4ZI7u3aDcNwA3bSFeEsTskXn3fBJOPnXnay16mLyrBZvh3hcwpuvhpTTqYf2lSnTqW2VX2c4OpGLamoTvT51GTi5Ri152Ex2Jy+ssTg6nssRFNQq8lOU4Xtd03OMuSXRzjafK2k0pNP9UfEfxdtvibreo6BoWpz+OdHt7a4XwprputQt9Q0C78O6wNa0iaw0uN7G4aLVr/S4ru/1CKC30mwtPGHiRtD8L6fqOqancH9a/8AgmZ4w0rTvBv7Rer+KPjzpfw4+C3wm0WT4h6xqXjWxufiD4b0HULG3itPFvi3wlaafe2vjXVZr9fA+qeBNE0jwuniXUPiQuseDvD8vhlvEVz4a1TTf5dvDPxd1PwlpOoeHrRbnRhqttbabfan4bNvo+r3Cpeac8zLqdvFFLCJNM09fIYmeQ6s39ozTSIhhj+rPBPxv+F2m+F/EvhfXruW50HxDpsVr4lsIBdWWo63pv26PUrRfs1wRpz+KdH8QWNlqlxo2qWOp+BvE1s9hFJrdhFo1/pXir4SvwdXweKiqeEqYrLtacqNGaVSrTnCKrSfK4xjJNx9lBcqaU3JxXM4feUOL6dfBzjLExw2P92cKtWm5Rp1IT5qMbO75eVSVWpq/ejHW0FL+kT9tT4EX2ufC/xh8W9CXwr4k8H/ABB0Gw8R/D74i+B9YXXvAPjO4bwgfEum3Ogape6bpmuyz3/h5brUNPlv9M0+W/ay1c2rahZ6dPct/LT8BvgbffD/APaM+H2l+JolTTNXl1PTnv41S8s47zVvBesWWi6ks6vNaeU2r3cMunhZDJIVEkEcWFkH9PP/AAR7/bz+DHxP8E+H/wDglR+0J8UU1z4JfFZnsf2f/FPi2PVfAvxA+HvjyHU9L1jwn8L4/FdvJc6Q0OpeJI5h8Lb2fWdRTUfEcNv8LrjSvFnhrxdpng7RfgP9rP8AZ2+If7M37W3jP4V/F7S7Tw7b+BLGLX9B8SWFgt5p3ikeVYXmleMfBo0h7uZ/CmoeEY9evNMs9Qs5dasNRtr3w5qdvYa7Bq3h1Msyy2rw/hcQ8udaOV5jha9OTxalTxGFxEKFSKoONSnTbnJyc6Gjc2nC8kud9OX5nR4krYSOZxpTzPK8VSqKOHcZUcRQlWw8nWXJOpG0VFRrRvZRfOuXWMfz8/bK1SXS/gl8NPh/JFqN9DeKfiP4khtwtu9i9tqOt+EPDustuiaVbB5f+ElW5M9kLa3fxFoszTwz30Ueo/kXqEagMT8o2lstxgLkZJJPyrhhkEqAOHbOT+nf7SPxLtV8Q6R4h8TJFq+uaxofhKwl8O3WnSy6Ro/w8u7O+1W48PXDx3kE9rqWtRa5oup6p/ZV+9zZxvczw6jpd3PpqS/mD8WdS0Gw1m90LwnfSajph8i4S8kcfarSC7t4Z/7FvXijhjn1PTQ/9m6pPBFBZST29w1tbRx3PlW3rcGKtRy2NGvSqRdSVXFRqvmlTqurU56ivtFwc4wg9I1YRvDmUeZ/P8YujWzSpXoVoTUFTw8qKspUVSpqFNLrJOMW5p3lSqScZ2crL//Z">
          <a:extLst>
            <a:ext uri="{FF2B5EF4-FFF2-40B4-BE49-F238E27FC236}">
              <a16:creationId xmlns:a16="http://schemas.microsoft.com/office/drawing/2014/main" id="{4F193620-8CC9-4096-B7E3-92281C1926FC}"/>
            </a:ext>
          </a:extLst>
        </xdr:cNvPr>
        <xdr:cNvSpPr>
          <a:spLocks noChangeAspect="1" noChangeArrowheads="1"/>
        </xdr:cNvSpPr>
      </xdr:nvSpPr>
      <xdr:spPr bwMode="auto">
        <a:xfrm>
          <a:off x="11842750" y="461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137583</xdr:colOff>
      <xdr:row>1</xdr:row>
      <xdr:rowOff>105834</xdr:rowOff>
    </xdr:from>
    <xdr:to>
      <xdr:col>1</xdr:col>
      <xdr:colOff>989753</xdr:colOff>
      <xdr:row>1</xdr:row>
      <xdr:rowOff>1154854</xdr:rowOff>
    </xdr:to>
    <xdr:pic>
      <xdr:nvPicPr>
        <xdr:cNvPr id="2" name="Picture 1" descr="Macintosh HD:private:var:folders:vr:wgjqd34d1qz12ptjh0_l1y0c0000gn:T:TemporaryItems:Malaffi_Logo_with_Tag.png">
          <a:extLst>
            <a:ext uri="{FF2B5EF4-FFF2-40B4-BE49-F238E27FC236}">
              <a16:creationId xmlns:a16="http://schemas.microsoft.com/office/drawing/2014/main" id="{2A07D6A0-9D44-4DA2-8932-EFE4D2CFB0D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583" y="306917"/>
          <a:ext cx="1296670" cy="1049020"/>
        </a:xfrm>
        <a:prstGeom prst="rect">
          <a:avLst/>
        </a:prstGeom>
        <a:noFill/>
        <a:ln>
          <a:noFill/>
        </a:ln>
      </xdr:spPr>
    </xdr:pic>
    <xdr:clientData/>
  </xdr:twoCellAnchor>
  <xdr:twoCellAnchor>
    <xdr:from>
      <xdr:col>2</xdr:col>
      <xdr:colOff>148166</xdr:colOff>
      <xdr:row>1</xdr:row>
      <xdr:rowOff>529166</xdr:rowOff>
    </xdr:from>
    <xdr:to>
      <xdr:col>7</xdr:col>
      <xdr:colOff>4688416</xdr:colOff>
      <xdr:row>1</xdr:row>
      <xdr:rowOff>1016000</xdr:rowOff>
    </xdr:to>
    <xdr:sp macro="" textlink="">
      <xdr:nvSpPr>
        <xdr:cNvPr id="3" name="TextBox 2">
          <a:extLst>
            <a:ext uri="{FF2B5EF4-FFF2-40B4-BE49-F238E27FC236}">
              <a16:creationId xmlns:a16="http://schemas.microsoft.com/office/drawing/2014/main" id="{2F23330F-CB80-4703-B1B6-C2BC9D805BB7}"/>
            </a:ext>
          </a:extLst>
        </xdr:cNvPr>
        <xdr:cNvSpPr txBox="1"/>
      </xdr:nvSpPr>
      <xdr:spPr>
        <a:xfrm>
          <a:off x="1693333" y="730249"/>
          <a:ext cx="11916833" cy="486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baseline="0"/>
            <a:t>Evaluation Questionnaire</a:t>
          </a:r>
          <a:endParaRPr lang="en-US" sz="2400" b="1"/>
        </a:p>
      </xdr:txBody>
    </xdr:sp>
    <xdr:clientData/>
  </xdr:twoCellAnchor>
  <xdr:twoCellAnchor>
    <xdr:from>
      <xdr:col>5</xdr:col>
      <xdr:colOff>3719126</xdr:colOff>
      <xdr:row>1</xdr:row>
      <xdr:rowOff>567837</xdr:rowOff>
    </xdr:from>
    <xdr:to>
      <xdr:col>6</xdr:col>
      <xdr:colOff>1096654</xdr:colOff>
      <xdr:row>1</xdr:row>
      <xdr:rowOff>1380977</xdr:rowOff>
    </xdr:to>
    <xdr:sp macro="" textlink="">
      <xdr:nvSpPr>
        <xdr:cNvPr id="4" name="Arrow: Down 3">
          <a:extLst>
            <a:ext uri="{FF2B5EF4-FFF2-40B4-BE49-F238E27FC236}">
              <a16:creationId xmlns:a16="http://schemas.microsoft.com/office/drawing/2014/main" id="{13C8887C-4ABA-47AF-A221-9EA823E93E6E}"/>
            </a:ext>
          </a:extLst>
        </xdr:cNvPr>
        <xdr:cNvSpPr/>
      </xdr:nvSpPr>
      <xdr:spPr>
        <a:xfrm rot="3272994">
          <a:off x="13483410" y="596444"/>
          <a:ext cx="813140" cy="114288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n-US" sz="1400" b="1">
              <a:solidFill>
                <a:schemeClr val="bg1"/>
              </a:solidFill>
            </a:rPr>
            <a:t>click here</a:t>
          </a:r>
        </a:p>
      </xdr:txBody>
    </xdr:sp>
    <xdr:clientData/>
  </xdr:twoCellAnchor>
  <xdr:twoCellAnchor>
    <xdr:from>
      <xdr:col>5</xdr:col>
      <xdr:colOff>3719126</xdr:colOff>
      <xdr:row>1</xdr:row>
      <xdr:rowOff>567837</xdr:rowOff>
    </xdr:from>
    <xdr:to>
      <xdr:col>6</xdr:col>
      <xdr:colOff>1090304</xdr:colOff>
      <xdr:row>1</xdr:row>
      <xdr:rowOff>1387327</xdr:rowOff>
    </xdr:to>
    <xdr:sp macro="" textlink="">
      <xdr:nvSpPr>
        <xdr:cNvPr id="5" name="Arrow: Down 4">
          <a:extLst>
            <a:ext uri="{FF2B5EF4-FFF2-40B4-BE49-F238E27FC236}">
              <a16:creationId xmlns:a16="http://schemas.microsoft.com/office/drawing/2014/main" id="{2BA29E85-53A2-4559-A68F-6C28CA025397}"/>
            </a:ext>
          </a:extLst>
        </xdr:cNvPr>
        <xdr:cNvSpPr/>
      </xdr:nvSpPr>
      <xdr:spPr>
        <a:xfrm rot="3272994">
          <a:off x="13477060" y="602794"/>
          <a:ext cx="819490" cy="113653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n-US" sz="1400" b="1">
              <a:solidFill>
                <a:schemeClr val="bg1"/>
              </a:solidFill>
            </a:rPr>
            <a:t>click here</a:t>
          </a:r>
        </a:p>
      </xdr:txBody>
    </xdr:sp>
    <xdr:clientData/>
  </xdr:twoCellAnchor>
  <xdr:twoCellAnchor>
    <xdr:from>
      <xdr:col>5</xdr:col>
      <xdr:colOff>3719126</xdr:colOff>
      <xdr:row>1</xdr:row>
      <xdr:rowOff>567837</xdr:rowOff>
    </xdr:from>
    <xdr:to>
      <xdr:col>6</xdr:col>
      <xdr:colOff>1090304</xdr:colOff>
      <xdr:row>1</xdr:row>
      <xdr:rowOff>1387327</xdr:rowOff>
    </xdr:to>
    <xdr:sp macro="" textlink="">
      <xdr:nvSpPr>
        <xdr:cNvPr id="6" name="Arrow: Down 5">
          <a:extLst>
            <a:ext uri="{FF2B5EF4-FFF2-40B4-BE49-F238E27FC236}">
              <a16:creationId xmlns:a16="http://schemas.microsoft.com/office/drawing/2014/main" id="{603A3317-F1DA-48D5-8BFF-3A1C7313FFFF}"/>
            </a:ext>
          </a:extLst>
        </xdr:cNvPr>
        <xdr:cNvSpPr/>
      </xdr:nvSpPr>
      <xdr:spPr>
        <a:xfrm rot="3272994">
          <a:off x="13477060" y="602794"/>
          <a:ext cx="819490" cy="113653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n-US" sz="1400" b="1">
              <a:solidFill>
                <a:schemeClr val="bg1"/>
              </a:solidFill>
            </a:rPr>
            <a:t>click here</a:t>
          </a:r>
        </a:p>
      </xdr:txBody>
    </xdr:sp>
    <xdr:clientData/>
  </xdr:twoCellAnchor>
  <xdr:twoCellAnchor>
    <xdr:from>
      <xdr:col>4</xdr:col>
      <xdr:colOff>524071</xdr:colOff>
      <xdr:row>1</xdr:row>
      <xdr:rowOff>643134</xdr:rowOff>
    </xdr:from>
    <xdr:to>
      <xdr:col>5</xdr:col>
      <xdr:colOff>28850</xdr:colOff>
      <xdr:row>2</xdr:row>
      <xdr:rowOff>37049</xdr:rowOff>
    </xdr:to>
    <xdr:sp macro="" textlink="">
      <xdr:nvSpPr>
        <xdr:cNvPr id="7" name="Arrow: Down 6">
          <a:extLst>
            <a:ext uri="{FF2B5EF4-FFF2-40B4-BE49-F238E27FC236}">
              <a16:creationId xmlns:a16="http://schemas.microsoft.com/office/drawing/2014/main" id="{98B129EC-F83F-40B2-BC26-723D08A5DC36}"/>
            </a:ext>
          </a:extLst>
        </xdr:cNvPr>
        <xdr:cNvSpPr/>
      </xdr:nvSpPr>
      <xdr:spPr>
        <a:xfrm rot="18482677">
          <a:off x="8653429" y="684441"/>
          <a:ext cx="822665" cy="112700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t"/>
        <a:lstStyle/>
        <a:p>
          <a:pPr algn="l"/>
          <a:r>
            <a:rPr lang="en-US" sz="1400" b="1">
              <a:solidFill>
                <a:schemeClr val="bg1"/>
              </a:solidFill>
            </a:rPr>
            <a:t>click here</a:t>
          </a:r>
        </a:p>
      </xdr:txBody>
    </xdr:sp>
    <xdr:clientData/>
  </xdr:twoCellAnchor>
  <xdr:twoCellAnchor>
    <xdr:from>
      <xdr:col>6</xdr:col>
      <xdr:colOff>3006326</xdr:colOff>
      <xdr:row>1</xdr:row>
      <xdr:rowOff>494308</xdr:rowOff>
    </xdr:from>
    <xdr:to>
      <xdr:col>6</xdr:col>
      <xdr:colOff>4133331</xdr:colOff>
      <xdr:row>1</xdr:row>
      <xdr:rowOff>1316973</xdr:rowOff>
    </xdr:to>
    <xdr:sp macro="" textlink="">
      <xdr:nvSpPr>
        <xdr:cNvPr id="8" name="Arrow: Down 7">
          <a:extLst>
            <a:ext uri="{FF2B5EF4-FFF2-40B4-BE49-F238E27FC236}">
              <a16:creationId xmlns:a16="http://schemas.microsoft.com/office/drawing/2014/main" id="{4BFAB4B6-85A8-4D21-B811-17EC3F9C36B6}"/>
            </a:ext>
          </a:extLst>
        </xdr:cNvPr>
        <xdr:cNvSpPr/>
      </xdr:nvSpPr>
      <xdr:spPr>
        <a:xfrm rot="18482677">
          <a:off x="16523262" y="535615"/>
          <a:ext cx="822665" cy="112700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t"/>
        <a:lstStyle/>
        <a:p>
          <a:pPr algn="l"/>
          <a:r>
            <a:rPr lang="en-US" sz="1400" b="1">
              <a:solidFill>
                <a:schemeClr val="bg1"/>
              </a:solidFill>
            </a:rPr>
            <a:t>click here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1</xdr:row>
      <xdr:rowOff>352425</xdr:rowOff>
    </xdr:from>
    <xdr:to>
      <xdr:col>10</xdr:col>
      <xdr:colOff>152400</xdr:colOff>
      <xdr:row>1</xdr:row>
      <xdr:rowOff>839259</xdr:rowOff>
    </xdr:to>
    <xdr:sp macro="" textlink="">
      <xdr:nvSpPr>
        <xdr:cNvPr id="2" name="TextBox 1">
          <a:extLst>
            <a:ext uri="{FF2B5EF4-FFF2-40B4-BE49-F238E27FC236}">
              <a16:creationId xmlns:a16="http://schemas.microsoft.com/office/drawing/2014/main" id="{66DDED64-0E58-4738-812B-ED1FF35778A0}"/>
            </a:ext>
          </a:extLst>
        </xdr:cNvPr>
        <xdr:cNvSpPr txBox="1"/>
      </xdr:nvSpPr>
      <xdr:spPr>
        <a:xfrm>
          <a:off x="295275" y="552450"/>
          <a:ext cx="8763000" cy="4868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baseline="0"/>
            <a:t>Evaluation Summary</a:t>
          </a:r>
          <a:endParaRPr lang="en-US" sz="2400" b="1"/>
        </a:p>
      </xdr:txBody>
    </xdr:sp>
    <xdr:clientData/>
  </xdr:twoCellAnchor>
  <xdr:twoCellAnchor>
    <xdr:from>
      <xdr:col>3</xdr:col>
      <xdr:colOff>190500</xdr:colOff>
      <xdr:row>2</xdr:row>
      <xdr:rowOff>9524</xdr:rowOff>
    </xdr:from>
    <xdr:to>
      <xdr:col>10</xdr:col>
      <xdr:colOff>128587</xdr:colOff>
      <xdr:row>13</xdr:row>
      <xdr:rowOff>0</xdr:rowOff>
    </xdr:to>
    <xdr:graphicFrame macro="">
      <xdr:nvGraphicFramePr>
        <xdr:cNvPr id="3" name="Chart 2">
          <a:extLst>
            <a:ext uri="{FF2B5EF4-FFF2-40B4-BE49-F238E27FC236}">
              <a16:creationId xmlns:a16="http://schemas.microsoft.com/office/drawing/2014/main" id="{701C84FD-3B05-453C-AC44-4B6A00E99B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209550</xdr:colOff>
      <xdr:row>0</xdr:row>
      <xdr:rowOff>123825</xdr:rowOff>
    </xdr:from>
    <xdr:to>
      <xdr:col>1</xdr:col>
      <xdr:colOff>1233170</xdr:colOff>
      <xdr:row>1</xdr:row>
      <xdr:rowOff>972820</xdr:rowOff>
    </xdr:to>
    <xdr:pic>
      <xdr:nvPicPr>
        <xdr:cNvPr id="4" name="Picture 3" descr="Macintosh HD:private:var:folders:vr:wgjqd34d1qz12ptjh0_l1y0c0000gn:T:TemporaryItems:Malaffi_Logo_with_Tag.png">
          <a:extLst>
            <a:ext uri="{FF2B5EF4-FFF2-40B4-BE49-F238E27FC236}">
              <a16:creationId xmlns:a16="http://schemas.microsoft.com/office/drawing/2014/main" id="{AA382E58-65FF-4078-BA6A-07E7BA1FFD8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9550" y="123825"/>
          <a:ext cx="1299845" cy="104902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631F5-FA48-2942-9248-DB92CB99F7E6}">
  <sheetPr>
    <tabColor rgb="FF00B0F0"/>
  </sheetPr>
  <dimension ref="B1:D20"/>
  <sheetViews>
    <sheetView showGridLines="0" zoomScale="59" zoomScaleNormal="59" workbookViewId="0">
      <selection activeCell="B26" sqref="B26"/>
    </sheetView>
  </sheetViews>
  <sheetFormatPr defaultColWidth="11" defaultRowHeight="15.75" x14ac:dyDescent="0.25"/>
  <cols>
    <col min="1" max="1" width="3.125" customWidth="1"/>
    <col min="2" max="2" width="55.5" customWidth="1"/>
    <col min="3" max="3" width="19.625" customWidth="1"/>
    <col min="4" max="4" width="43" customWidth="1"/>
  </cols>
  <sheetData>
    <row r="1" spans="2:4" ht="150" customHeight="1" x14ac:dyDescent="0.25"/>
    <row r="2" spans="2:4" ht="36.75" customHeight="1" x14ac:dyDescent="0.25">
      <c r="B2" s="34" t="s">
        <v>118</v>
      </c>
      <c r="C2" s="35"/>
      <c r="D2" s="36"/>
    </row>
    <row r="3" spans="2:4" ht="92.45" customHeight="1" x14ac:dyDescent="0.25">
      <c r="B3" s="37" t="s">
        <v>110</v>
      </c>
      <c r="C3" s="38"/>
      <c r="D3" s="39"/>
    </row>
    <row r="4" spans="2:4" ht="30.75" customHeight="1" x14ac:dyDescent="0.25">
      <c r="B4" s="26" t="s">
        <v>103</v>
      </c>
      <c r="C4" s="40" t="s">
        <v>86</v>
      </c>
      <c r="D4" s="41"/>
    </row>
    <row r="5" spans="2:4" ht="42.95" customHeight="1" x14ac:dyDescent="0.25">
      <c r="B5" s="33" t="s">
        <v>116</v>
      </c>
      <c r="C5" s="29" t="s">
        <v>117</v>
      </c>
      <c r="D5" s="30" t="s">
        <v>115</v>
      </c>
    </row>
    <row r="6" spans="2:4" ht="30.75" customHeight="1" x14ac:dyDescent="0.25">
      <c r="B6" s="33"/>
      <c r="C6" s="11"/>
      <c r="D6" s="27"/>
    </row>
    <row r="7" spans="2:4" ht="30.75" customHeight="1" x14ac:dyDescent="0.25">
      <c r="B7" s="33"/>
      <c r="C7" s="11"/>
      <c r="D7" s="27"/>
    </row>
    <row r="8" spans="2:4" ht="30.75" customHeight="1" x14ac:dyDescent="0.25">
      <c r="B8" s="33"/>
      <c r="C8" s="11"/>
      <c r="D8" s="27"/>
    </row>
    <row r="9" spans="2:4" ht="30.6" customHeight="1" x14ac:dyDescent="0.25">
      <c r="B9" s="33"/>
      <c r="C9" s="11"/>
      <c r="D9" s="27"/>
    </row>
    <row r="10" spans="2:4" ht="30.6" customHeight="1" x14ac:dyDescent="0.25">
      <c r="B10" s="33"/>
      <c r="C10" s="11"/>
      <c r="D10" s="27"/>
    </row>
    <row r="11" spans="2:4" ht="50.45" customHeight="1" x14ac:dyDescent="0.25">
      <c r="B11" s="28" t="s">
        <v>112</v>
      </c>
      <c r="C11" s="31"/>
      <c r="D11" s="32"/>
    </row>
    <row r="12" spans="2:4" ht="36.6" customHeight="1" x14ac:dyDescent="0.25">
      <c r="B12" s="28" t="s">
        <v>113</v>
      </c>
      <c r="C12" s="31"/>
      <c r="D12" s="32"/>
    </row>
    <row r="13" spans="2:4" ht="70.5" customHeight="1" x14ac:dyDescent="0.25">
      <c r="B13" s="26" t="s">
        <v>114</v>
      </c>
      <c r="C13" s="40"/>
      <c r="D13" s="41"/>
    </row>
    <row r="14" spans="2:4" ht="33" customHeight="1" x14ac:dyDescent="0.25">
      <c r="B14" s="26" t="s">
        <v>105</v>
      </c>
      <c r="C14" s="40" t="s">
        <v>86</v>
      </c>
      <c r="D14" s="41"/>
    </row>
    <row r="15" spans="2:4" ht="33" customHeight="1" x14ac:dyDescent="0.25">
      <c r="B15" s="26" t="s">
        <v>104</v>
      </c>
      <c r="C15" s="40" t="s">
        <v>86</v>
      </c>
      <c r="D15" s="41"/>
    </row>
    <row r="16" spans="2:4" ht="33" customHeight="1" x14ac:dyDescent="0.25">
      <c r="B16" s="26" t="s">
        <v>106</v>
      </c>
      <c r="C16" s="40" t="s">
        <v>86</v>
      </c>
      <c r="D16" s="41"/>
    </row>
    <row r="17" spans="2:4" ht="33" customHeight="1" x14ac:dyDescent="0.25">
      <c r="B17" s="26" t="s">
        <v>107</v>
      </c>
      <c r="C17" s="40" t="s">
        <v>86</v>
      </c>
      <c r="D17" s="41"/>
    </row>
    <row r="18" spans="2:4" ht="33" customHeight="1" x14ac:dyDescent="0.25">
      <c r="B18" s="26" t="s">
        <v>108</v>
      </c>
      <c r="C18" s="40" t="s">
        <v>86</v>
      </c>
      <c r="D18" s="41"/>
    </row>
    <row r="19" spans="2:4" ht="33" customHeight="1" x14ac:dyDescent="0.25">
      <c r="B19" s="26" t="s">
        <v>109</v>
      </c>
      <c r="C19" s="40"/>
      <c r="D19" s="41"/>
    </row>
    <row r="20" spans="2:4" ht="33" customHeight="1" x14ac:dyDescent="0.25">
      <c r="B20" s="26" t="s">
        <v>111</v>
      </c>
      <c r="C20" s="42" t="s">
        <v>86</v>
      </c>
      <c r="D20" s="43"/>
    </row>
  </sheetData>
  <mergeCells count="14">
    <mergeCell ref="C18:D18"/>
    <mergeCell ref="C19:D19"/>
    <mergeCell ref="C20:D20"/>
    <mergeCell ref="C14:D14"/>
    <mergeCell ref="C13:D13"/>
    <mergeCell ref="C15:D15"/>
    <mergeCell ref="C16:D16"/>
    <mergeCell ref="C17:D17"/>
    <mergeCell ref="C12:D12"/>
    <mergeCell ref="B5:B10"/>
    <mergeCell ref="B2:D2"/>
    <mergeCell ref="B3:D3"/>
    <mergeCell ref="C4:D4"/>
    <mergeCell ref="C11:D11"/>
  </mergeCells>
  <dataValidations count="1">
    <dataValidation type="list" allowBlank="1" showInputMessage="1" showErrorMessage="1" sqref="C13" xr:uid="{9076D44E-B67F-486D-B6AE-2997F3E8C6FE}">
      <formula1>"0 - 3 month, 3-6 months, 6-9 months, 9-12months"</formula1>
    </dataValidation>
  </dataValidations>
  <pageMargins left="0.7" right="0.7" top="0.75" bottom="0.75" header="0.3" footer="0.3"/>
  <pageSetup orientation="portrait" r:id="rId1"/>
  <headerFooter>
    <oddFooter>&amp;C&amp;KE84E1B&amp;10&amp;"Calibri"&amp;BThis document has been classified as Confidential | سري by ADHDS. Please handle accordingly.&amp;B</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84758-90B2-0B41-BBD6-E0218CBD729C}">
  <sheetPr>
    <tabColor rgb="FF92D050"/>
  </sheetPr>
  <dimension ref="A2:J44"/>
  <sheetViews>
    <sheetView showGridLines="0" tabSelected="1" zoomScale="64" zoomScaleNormal="64" workbookViewId="0">
      <pane ySplit="3" topLeftCell="A15" activePane="bottomLeft" state="frozen"/>
      <selection pane="bottomLeft" activeCell="E23" sqref="E23"/>
    </sheetView>
  </sheetViews>
  <sheetFormatPr defaultColWidth="11" defaultRowHeight="15.75" x14ac:dyDescent="0.25"/>
  <cols>
    <col min="1" max="1" width="5.875" style="2" customWidth="1"/>
    <col min="2" max="2" width="19.5" style="4" customWidth="1"/>
    <col min="3" max="3" width="14.375" style="2" customWidth="1"/>
    <col min="4" max="4" width="64.75" style="3" customWidth="1"/>
    <col min="5" max="5" width="21.25" style="5" customWidth="1"/>
    <col min="6" max="6" width="49.375" style="5" customWidth="1"/>
    <col min="7" max="7" width="55.375" style="5" customWidth="1"/>
    <col min="8" max="8" width="33.75" customWidth="1"/>
    <col min="10" max="10" width="10.875" hidden="1" customWidth="1"/>
  </cols>
  <sheetData>
    <row r="2" spans="1:10" ht="112.5" customHeight="1" x14ac:dyDescent="0.25"/>
    <row r="3" spans="1:10" s="10" customFormat="1" ht="45" customHeight="1" x14ac:dyDescent="0.25">
      <c r="A3" s="24" t="s">
        <v>87</v>
      </c>
      <c r="B3" s="9" t="s">
        <v>76</v>
      </c>
      <c r="C3" s="24" t="s">
        <v>88</v>
      </c>
      <c r="D3" s="24" t="s">
        <v>0</v>
      </c>
      <c r="E3" s="24" t="s">
        <v>66</v>
      </c>
      <c r="F3" s="24" t="s">
        <v>101</v>
      </c>
      <c r="G3" s="24" t="s">
        <v>100</v>
      </c>
      <c r="H3" s="24" t="s">
        <v>102</v>
      </c>
    </row>
    <row r="4" spans="1:10" ht="45" customHeight="1" x14ac:dyDescent="0.25">
      <c r="A4" s="6">
        <v>1</v>
      </c>
      <c r="B4" s="7" t="s">
        <v>77</v>
      </c>
      <c r="C4" s="6" t="s">
        <v>2</v>
      </c>
      <c r="D4" s="8" t="s">
        <v>1</v>
      </c>
      <c r="E4" s="6"/>
      <c r="F4" s="25"/>
      <c r="G4" s="25"/>
      <c r="H4" s="25"/>
    </row>
    <row r="5" spans="1:10" ht="45" customHeight="1" x14ac:dyDescent="0.25">
      <c r="A5" s="6">
        <f>SUM(A4+1)</f>
        <v>2</v>
      </c>
      <c r="B5" s="7" t="s">
        <v>78</v>
      </c>
      <c r="C5" s="6" t="s">
        <v>3</v>
      </c>
      <c r="D5" s="8" t="s">
        <v>69</v>
      </c>
      <c r="E5" s="6"/>
      <c r="F5" s="25"/>
      <c r="G5" s="25"/>
      <c r="H5" s="25"/>
      <c r="J5" t="s">
        <v>63</v>
      </c>
    </row>
    <row r="6" spans="1:10" ht="45" customHeight="1" x14ac:dyDescent="0.25">
      <c r="A6" s="6">
        <f t="shared" ref="A6:A44" si="0">SUM(A5+1)</f>
        <v>3</v>
      </c>
      <c r="B6" s="7" t="s">
        <v>79</v>
      </c>
      <c r="C6" s="6" t="s">
        <v>4</v>
      </c>
      <c r="D6" s="8" t="s">
        <v>70</v>
      </c>
      <c r="E6" s="6"/>
      <c r="F6" s="25"/>
      <c r="G6" s="25"/>
      <c r="H6" s="25"/>
      <c r="J6" t="s">
        <v>64</v>
      </c>
    </row>
    <row r="7" spans="1:10" ht="45" customHeight="1" x14ac:dyDescent="0.25">
      <c r="A7" s="6">
        <f t="shared" si="0"/>
        <v>4</v>
      </c>
      <c r="B7" s="7" t="s">
        <v>79</v>
      </c>
      <c r="C7" s="6" t="s">
        <v>6</v>
      </c>
      <c r="D7" s="8" t="s">
        <v>5</v>
      </c>
      <c r="E7" s="6"/>
      <c r="F7" s="25"/>
      <c r="G7" s="25"/>
      <c r="H7" s="25"/>
      <c r="J7" t="s">
        <v>65</v>
      </c>
    </row>
    <row r="8" spans="1:10" ht="45" customHeight="1" x14ac:dyDescent="0.25">
      <c r="A8" s="6">
        <f t="shared" si="0"/>
        <v>5</v>
      </c>
      <c r="B8" s="7" t="s">
        <v>79</v>
      </c>
      <c r="C8" s="6" t="s">
        <v>7</v>
      </c>
      <c r="D8" s="8" t="s">
        <v>71</v>
      </c>
      <c r="E8" s="6"/>
      <c r="F8" s="25"/>
      <c r="G8" s="25"/>
      <c r="H8" s="25"/>
      <c r="J8" t="s">
        <v>67</v>
      </c>
    </row>
    <row r="9" spans="1:10" ht="45" customHeight="1" x14ac:dyDescent="0.25">
      <c r="A9" s="6">
        <f t="shared" si="0"/>
        <v>6</v>
      </c>
      <c r="B9" s="7" t="s">
        <v>79</v>
      </c>
      <c r="C9" s="6" t="s">
        <v>8</v>
      </c>
      <c r="D9" s="8" t="s">
        <v>99</v>
      </c>
      <c r="E9" s="6"/>
      <c r="F9" s="25"/>
      <c r="G9" s="25"/>
      <c r="H9" s="25"/>
    </row>
    <row r="10" spans="1:10" ht="45" customHeight="1" x14ac:dyDescent="0.25">
      <c r="A10" s="6">
        <f t="shared" si="0"/>
        <v>7</v>
      </c>
      <c r="B10" s="7" t="s">
        <v>79</v>
      </c>
      <c r="C10" s="6" t="s">
        <v>10</v>
      </c>
      <c r="D10" s="8" t="s">
        <v>9</v>
      </c>
      <c r="E10" s="6"/>
      <c r="F10" s="25"/>
      <c r="G10" s="25"/>
      <c r="H10" s="25"/>
    </row>
    <row r="11" spans="1:10" ht="45" customHeight="1" x14ac:dyDescent="0.25">
      <c r="A11" s="6">
        <f t="shared" si="0"/>
        <v>8</v>
      </c>
      <c r="B11" s="7" t="s">
        <v>79</v>
      </c>
      <c r="C11" s="6" t="s">
        <v>12</v>
      </c>
      <c r="D11" s="8" t="s">
        <v>11</v>
      </c>
      <c r="E11" s="6"/>
      <c r="F11" s="25"/>
      <c r="G11" s="25"/>
      <c r="H11" s="25"/>
    </row>
    <row r="12" spans="1:10" ht="45" customHeight="1" x14ac:dyDescent="0.25">
      <c r="A12" s="6">
        <f t="shared" si="0"/>
        <v>9</v>
      </c>
      <c r="B12" s="7" t="s">
        <v>79</v>
      </c>
      <c r="C12" s="6" t="s">
        <v>13</v>
      </c>
      <c r="D12" s="8" t="s">
        <v>72</v>
      </c>
      <c r="E12" s="6"/>
      <c r="F12" s="25"/>
      <c r="G12" s="25"/>
      <c r="H12" s="25"/>
    </row>
    <row r="13" spans="1:10" ht="45" customHeight="1" x14ac:dyDescent="0.25">
      <c r="A13" s="6">
        <f t="shared" si="0"/>
        <v>10</v>
      </c>
      <c r="B13" s="7" t="s">
        <v>79</v>
      </c>
      <c r="C13" s="6" t="s">
        <v>17</v>
      </c>
      <c r="D13" s="8" t="s">
        <v>14</v>
      </c>
      <c r="E13" s="6"/>
      <c r="F13" s="25"/>
      <c r="G13" s="25"/>
      <c r="H13" s="25"/>
    </row>
    <row r="14" spans="1:10" ht="45" customHeight="1" x14ac:dyDescent="0.25">
      <c r="A14" s="6">
        <f t="shared" si="0"/>
        <v>11</v>
      </c>
      <c r="B14" s="7" t="s">
        <v>79</v>
      </c>
      <c r="C14" s="6" t="s">
        <v>18</v>
      </c>
      <c r="D14" s="8" t="s">
        <v>15</v>
      </c>
      <c r="E14" s="6"/>
      <c r="F14" s="25"/>
      <c r="G14" s="25"/>
      <c r="H14" s="25"/>
    </row>
    <row r="15" spans="1:10" ht="45" customHeight="1" x14ac:dyDescent="0.25">
      <c r="A15" s="6">
        <f t="shared" si="0"/>
        <v>12</v>
      </c>
      <c r="B15" s="7" t="s">
        <v>79</v>
      </c>
      <c r="C15" s="7" t="s">
        <v>53</v>
      </c>
      <c r="D15" s="8" t="s">
        <v>16</v>
      </c>
      <c r="E15" s="6"/>
      <c r="F15" s="25"/>
      <c r="G15" s="25"/>
      <c r="H15" s="25"/>
    </row>
    <row r="16" spans="1:10" ht="45" customHeight="1" x14ac:dyDescent="0.25">
      <c r="A16" s="6">
        <f t="shared" si="0"/>
        <v>13</v>
      </c>
      <c r="B16" s="7" t="s">
        <v>79</v>
      </c>
      <c r="C16" s="6" t="s">
        <v>19</v>
      </c>
      <c r="D16" s="8" t="s">
        <v>73</v>
      </c>
      <c r="E16" s="6"/>
      <c r="F16" s="25"/>
      <c r="G16" s="25"/>
      <c r="H16" s="25"/>
    </row>
    <row r="17" spans="1:8" ht="45" customHeight="1" x14ac:dyDescent="0.25">
      <c r="A17" s="6">
        <f t="shared" si="0"/>
        <v>14</v>
      </c>
      <c r="B17" s="7" t="s">
        <v>79</v>
      </c>
      <c r="C17" s="7" t="s">
        <v>53</v>
      </c>
      <c r="D17" s="8" t="s">
        <v>20</v>
      </c>
      <c r="E17" s="6"/>
      <c r="F17" s="25"/>
      <c r="G17" s="25"/>
      <c r="H17" s="25"/>
    </row>
    <row r="18" spans="1:8" ht="45" customHeight="1" x14ac:dyDescent="0.25">
      <c r="A18" s="6">
        <f t="shared" si="0"/>
        <v>15</v>
      </c>
      <c r="B18" s="7" t="s">
        <v>79</v>
      </c>
      <c r="C18" s="6" t="s">
        <v>21</v>
      </c>
      <c r="D18" s="8" t="s">
        <v>22</v>
      </c>
      <c r="E18" s="6"/>
      <c r="F18" s="25"/>
      <c r="G18" s="25"/>
      <c r="H18" s="25"/>
    </row>
    <row r="19" spans="1:8" ht="45" customHeight="1" x14ac:dyDescent="0.25">
      <c r="A19" s="6">
        <f t="shared" si="0"/>
        <v>16</v>
      </c>
      <c r="B19" s="7" t="s">
        <v>79</v>
      </c>
      <c r="C19" s="6" t="s">
        <v>24</v>
      </c>
      <c r="D19" s="8" t="s">
        <v>23</v>
      </c>
      <c r="E19" s="6"/>
      <c r="F19" s="25"/>
      <c r="G19" s="25"/>
      <c r="H19" s="25"/>
    </row>
    <row r="20" spans="1:8" ht="45" customHeight="1" x14ac:dyDescent="0.25">
      <c r="A20" s="6">
        <f t="shared" si="0"/>
        <v>17</v>
      </c>
      <c r="B20" s="7" t="s">
        <v>79</v>
      </c>
      <c r="C20" s="6" t="s">
        <v>28</v>
      </c>
      <c r="D20" s="8" t="s">
        <v>25</v>
      </c>
      <c r="E20" s="6"/>
      <c r="F20" s="25"/>
      <c r="G20" s="25"/>
      <c r="H20" s="25"/>
    </row>
    <row r="21" spans="1:8" ht="45" customHeight="1" x14ac:dyDescent="0.25">
      <c r="A21" s="6">
        <f t="shared" si="0"/>
        <v>18</v>
      </c>
      <c r="B21" s="7" t="s">
        <v>79</v>
      </c>
      <c r="C21" s="6" t="s">
        <v>28</v>
      </c>
      <c r="D21" s="8" t="s">
        <v>26</v>
      </c>
      <c r="E21" s="6"/>
      <c r="F21" s="25"/>
      <c r="G21" s="25"/>
      <c r="H21" s="25"/>
    </row>
    <row r="22" spans="1:8" ht="45" customHeight="1" x14ac:dyDescent="0.25">
      <c r="A22" s="6">
        <f t="shared" si="0"/>
        <v>19</v>
      </c>
      <c r="B22" s="7" t="s">
        <v>79</v>
      </c>
      <c r="C22" s="6" t="s">
        <v>28</v>
      </c>
      <c r="D22" s="8" t="s">
        <v>27</v>
      </c>
      <c r="E22" s="6"/>
      <c r="F22" s="25"/>
      <c r="G22" s="25"/>
      <c r="H22" s="25"/>
    </row>
    <row r="23" spans="1:8" ht="45" customHeight="1" x14ac:dyDescent="0.25">
      <c r="A23" s="6">
        <f t="shared" si="0"/>
        <v>20</v>
      </c>
      <c r="B23" s="7" t="s">
        <v>79</v>
      </c>
      <c r="C23" s="6" t="s">
        <v>29</v>
      </c>
      <c r="D23" s="8" t="s">
        <v>30</v>
      </c>
      <c r="E23" s="6"/>
      <c r="F23" s="25"/>
      <c r="G23" s="25"/>
      <c r="H23" s="25"/>
    </row>
    <row r="24" spans="1:8" ht="236.25" x14ac:dyDescent="0.25">
      <c r="A24" s="6">
        <f t="shared" si="0"/>
        <v>21</v>
      </c>
      <c r="B24" s="7" t="s">
        <v>80</v>
      </c>
      <c r="C24" s="6" t="s">
        <v>31</v>
      </c>
      <c r="D24" s="8" t="s">
        <v>74</v>
      </c>
      <c r="E24" s="6"/>
      <c r="F24" s="25"/>
      <c r="G24" s="25"/>
      <c r="H24" s="25"/>
    </row>
    <row r="25" spans="1:8" ht="47.25" customHeight="1" x14ac:dyDescent="0.25">
      <c r="A25" s="6">
        <f t="shared" si="0"/>
        <v>22</v>
      </c>
      <c r="B25" s="7" t="s">
        <v>80</v>
      </c>
      <c r="C25" s="7" t="s">
        <v>41</v>
      </c>
      <c r="D25" s="8" t="s">
        <v>32</v>
      </c>
      <c r="E25" s="6"/>
      <c r="F25" s="25"/>
      <c r="G25" s="25"/>
      <c r="H25" s="25"/>
    </row>
    <row r="26" spans="1:8" ht="47.25" customHeight="1" x14ac:dyDescent="0.25">
      <c r="A26" s="6">
        <f t="shared" si="0"/>
        <v>23</v>
      </c>
      <c r="B26" s="7" t="s">
        <v>80</v>
      </c>
      <c r="C26" s="6" t="s">
        <v>35</v>
      </c>
      <c r="D26" s="8" t="s">
        <v>33</v>
      </c>
      <c r="E26" s="6"/>
      <c r="F26" s="25"/>
      <c r="G26" s="25"/>
      <c r="H26" s="25"/>
    </row>
    <row r="27" spans="1:8" ht="47.25" customHeight="1" x14ac:dyDescent="0.25">
      <c r="A27" s="6">
        <f t="shared" si="0"/>
        <v>24</v>
      </c>
      <c r="B27" s="7" t="s">
        <v>80</v>
      </c>
      <c r="C27" s="6" t="s">
        <v>35</v>
      </c>
      <c r="D27" s="8" t="s">
        <v>34</v>
      </c>
      <c r="E27" s="6"/>
      <c r="F27" s="25"/>
      <c r="G27" s="25"/>
      <c r="H27" s="25"/>
    </row>
    <row r="28" spans="1:8" ht="47.25" customHeight="1" x14ac:dyDescent="0.25">
      <c r="A28" s="6">
        <f t="shared" si="0"/>
        <v>25</v>
      </c>
      <c r="B28" s="7" t="s">
        <v>80</v>
      </c>
      <c r="C28" s="6" t="s">
        <v>35</v>
      </c>
      <c r="D28" s="8" t="s">
        <v>36</v>
      </c>
      <c r="E28" s="6"/>
      <c r="F28" s="25"/>
      <c r="G28" s="25"/>
      <c r="H28" s="25"/>
    </row>
    <row r="29" spans="1:8" ht="47.25" customHeight="1" x14ac:dyDescent="0.25">
      <c r="A29" s="6">
        <f t="shared" si="0"/>
        <v>26</v>
      </c>
      <c r="B29" s="7" t="s">
        <v>80</v>
      </c>
      <c r="C29" s="6" t="s">
        <v>35</v>
      </c>
      <c r="D29" s="8" t="s">
        <v>37</v>
      </c>
      <c r="E29" s="6"/>
      <c r="F29" s="25"/>
      <c r="G29" s="25"/>
      <c r="H29" s="25"/>
    </row>
    <row r="30" spans="1:8" ht="47.25" customHeight="1" x14ac:dyDescent="0.25">
      <c r="A30" s="6">
        <f t="shared" si="0"/>
        <v>27</v>
      </c>
      <c r="B30" s="7" t="s">
        <v>80</v>
      </c>
      <c r="C30" s="6" t="s">
        <v>39</v>
      </c>
      <c r="D30" s="8" t="s">
        <v>38</v>
      </c>
      <c r="E30" s="6"/>
      <c r="F30" s="25"/>
      <c r="G30" s="25"/>
      <c r="H30" s="25"/>
    </row>
    <row r="31" spans="1:8" ht="47.25" customHeight="1" x14ac:dyDescent="0.25">
      <c r="A31" s="6">
        <f t="shared" si="0"/>
        <v>28</v>
      </c>
      <c r="B31" s="7" t="s">
        <v>80</v>
      </c>
      <c r="C31" s="7" t="s">
        <v>40</v>
      </c>
      <c r="D31" s="8" t="s">
        <v>75</v>
      </c>
      <c r="E31" s="6"/>
      <c r="F31" s="25"/>
      <c r="G31" s="25"/>
      <c r="H31" s="25"/>
    </row>
    <row r="32" spans="1:8" ht="47.25" customHeight="1" x14ac:dyDescent="0.25">
      <c r="A32" s="6">
        <f t="shared" si="0"/>
        <v>29</v>
      </c>
      <c r="B32" s="7" t="s">
        <v>80</v>
      </c>
      <c r="C32" s="7" t="s">
        <v>43</v>
      </c>
      <c r="D32" s="8" t="s">
        <v>42</v>
      </c>
      <c r="E32" s="6"/>
      <c r="F32" s="25"/>
      <c r="G32" s="25"/>
      <c r="H32" s="25"/>
    </row>
    <row r="33" spans="1:8" ht="47.25" customHeight="1" x14ac:dyDescent="0.25">
      <c r="A33" s="6">
        <f t="shared" si="0"/>
        <v>30</v>
      </c>
      <c r="B33" s="7" t="s">
        <v>81</v>
      </c>
      <c r="C33" s="6" t="s">
        <v>45</v>
      </c>
      <c r="D33" s="8" t="s">
        <v>44</v>
      </c>
      <c r="E33" s="6"/>
      <c r="F33" s="25"/>
      <c r="G33" s="25"/>
      <c r="H33" s="25"/>
    </row>
    <row r="34" spans="1:8" ht="47.25" customHeight="1" x14ac:dyDescent="0.25">
      <c r="A34" s="6">
        <f t="shared" si="0"/>
        <v>31</v>
      </c>
      <c r="B34" s="7" t="s">
        <v>81</v>
      </c>
      <c r="C34" s="7" t="s">
        <v>46</v>
      </c>
      <c r="D34" s="8" t="s">
        <v>68</v>
      </c>
      <c r="E34" s="6"/>
      <c r="F34" s="25"/>
      <c r="G34" s="25"/>
      <c r="H34" s="25"/>
    </row>
    <row r="35" spans="1:8" ht="47.25" customHeight="1" x14ac:dyDescent="0.25">
      <c r="A35" s="6">
        <f t="shared" si="0"/>
        <v>32</v>
      </c>
      <c r="B35" s="7" t="s">
        <v>81</v>
      </c>
      <c r="C35" s="6" t="s">
        <v>48</v>
      </c>
      <c r="D35" s="8" t="s">
        <v>47</v>
      </c>
      <c r="E35" s="6"/>
      <c r="F35" s="25"/>
      <c r="G35" s="25"/>
      <c r="H35" s="25"/>
    </row>
    <row r="36" spans="1:8" ht="47.25" customHeight="1" x14ac:dyDescent="0.25">
      <c r="A36" s="6">
        <f t="shared" si="0"/>
        <v>33</v>
      </c>
      <c r="B36" s="7" t="s">
        <v>81</v>
      </c>
      <c r="C36" s="6" t="s">
        <v>48</v>
      </c>
      <c r="D36" s="8" t="s">
        <v>49</v>
      </c>
      <c r="E36" s="6"/>
      <c r="F36" s="25"/>
      <c r="G36" s="25"/>
      <c r="H36" s="25"/>
    </row>
    <row r="37" spans="1:8" ht="47.25" customHeight="1" x14ac:dyDescent="0.25">
      <c r="A37" s="6">
        <f t="shared" si="0"/>
        <v>34</v>
      </c>
      <c r="B37" s="7" t="s">
        <v>81</v>
      </c>
      <c r="C37" s="6" t="s">
        <v>48</v>
      </c>
      <c r="D37" s="8" t="s">
        <v>50</v>
      </c>
      <c r="E37" s="6"/>
      <c r="F37" s="25"/>
      <c r="G37" s="25"/>
      <c r="H37" s="25"/>
    </row>
    <row r="38" spans="1:8" ht="47.25" customHeight="1" x14ac:dyDescent="0.25">
      <c r="A38" s="6">
        <f t="shared" si="0"/>
        <v>35</v>
      </c>
      <c r="B38" s="7" t="s">
        <v>81</v>
      </c>
      <c r="C38" s="6" t="s">
        <v>48</v>
      </c>
      <c r="D38" s="8" t="s">
        <v>51</v>
      </c>
      <c r="E38" s="6"/>
      <c r="F38" s="25"/>
      <c r="G38" s="25"/>
      <c r="H38" s="25"/>
    </row>
    <row r="39" spans="1:8" ht="47.25" customHeight="1" x14ac:dyDescent="0.25">
      <c r="A39" s="6">
        <f t="shared" si="0"/>
        <v>36</v>
      </c>
      <c r="B39" s="7" t="s">
        <v>81</v>
      </c>
      <c r="C39" s="6" t="s">
        <v>48</v>
      </c>
      <c r="D39" s="8" t="s">
        <v>52</v>
      </c>
      <c r="E39" s="6"/>
      <c r="F39" s="25"/>
      <c r="G39" s="25"/>
      <c r="H39" s="25"/>
    </row>
    <row r="40" spans="1:8" ht="47.25" customHeight="1" x14ac:dyDescent="0.25">
      <c r="A40" s="6">
        <f t="shared" si="0"/>
        <v>37</v>
      </c>
      <c r="B40" s="7" t="s">
        <v>81</v>
      </c>
      <c r="C40" s="6" t="s">
        <v>55</v>
      </c>
      <c r="D40" s="8" t="s">
        <v>54</v>
      </c>
      <c r="E40" s="6"/>
      <c r="F40" s="25"/>
      <c r="G40" s="25"/>
      <c r="H40" s="25"/>
    </row>
    <row r="41" spans="1:8" ht="47.25" customHeight="1" x14ac:dyDescent="0.25">
      <c r="A41" s="6">
        <f t="shared" si="0"/>
        <v>38</v>
      </c>
      <c r="B41" s="7" t="s">
        <v>82</v>
      </c>
      <c r="C41" s="7" t="s">
        <v>56</v>
      </c>
      <c r="D41" s="8" t="s">
        <v>98</v>
      </c>
      <c r="E41" s="6"/>
      <c r="F41" s="25"/>
      <c r="G41" s="25"/>
      <c r="H41" s="25"/>
    </row>
    <row r="42" spans="1:8" ht="47.25" customHeight="1" x14ac:dyDescent="0.25">
      <c r="A42" s="6">
        <f t="shared" si="0"/>
        <v>39</v>
      </c>
      <c r="B42" s="7" t="s">
        <v>83</v>
      </c>
      <c r="C42" s="6" t="s">
        <v>58</v>
      </c>
      <c r="D42" s="8" t="s">
        <v>57</v>
      </c>
      <c r="E42" s="6"/>
      <c r="F42" s="25"/>
      <c r="G42" s="25"/>
      <c r="H42" s="25"/>
    </row>
    <row r="43" spans="1:8" ht="47.25" customHeight="1" x14ac:dyDescent="0.25">
      <c r="A43" s="6">
        <f t="shared" si="0"/>
        <v>40</v>
      </c>
      <c r="B43" s="7" t="s">
        <v>83</v>
      </c>
      <c r="C43" s="7" t="s">
        <v>60</v>
      </c>
      <c r="D43" s="8" t="s">
        <v>59</v>
      </c>
      <c r="E43" s="6"/>
      <c r="F43" s="25"/>
      <c r="G43" s="25"/>
      <c r="H43" s="25"/>
    </row>
    <row r="44" spans="1:8" ht="47.25" customHeight="1" x14ac:dyDescent="0.25">
      <c r="A44" s="6">
        <f t="shared" si="0"/>
        <v>41</v>
      </c>
      <c r="B44" s="7" t="s">
        <v>84</v>
      </c>
      <c r="C44" s="7" t="s">
        <v>62</v>
      </c>
      <c r="D44" s="8" t="s">
        <v>61</v>
      </c>
      <c r="E44" s="6"/>
      <c r="F44" s="25"/>
      <c r="G44" s="25"/>
      <c r="H44" s="25"/>
    </row>
  </sheetData>
  <conditionalFormatting sqref="E4:E44">
    <cfRule type="containsText" dxfId="3" priority="1" operator="containsText" text="Not Applicable">
      <formula>NOT(ISERROR(SEARCH("Not Applicable",E4)))</formula>
    </cfRule>
    <cfRule type="containsText" dxfId="2" priority="2" operator="containsText" text="Non Compliant">
      <formula>NOT(ISERROR(SEARCH("Non Compliant",E4)))</formula>
    </cfRule>
    <cfRule type="containsText" dxfId="1" priority="3" operator="containsText" text="Partially Compliant">
      <formula>NOT(ISERROR(SEARCH("Partially Compliant",E4)))</formula>
    </cfRule>
    <cfRule type="containsText" dxfId="0" priority="4" operator="containsText" text="Fully Compliant">
      <formula>NOT(ISERROR(SEARCH("Fully Compliant",E4)))</formula>
    </cfRule>
  </conditionalFormatting>
  <dataValidations count="1">
    <dataValidation type="list" allowBlank="1" showInputMessage="1" showErrorMessage="1" sqref="E4:E44" xr:uid="{63AC8FE9-AF62-4DCE-A557-6FBF4166F740}">
      <formula1>$J$4:$J$8</formula1>
    </dataValidation>
  </dataValidations>
  <pageMargins left="0.7" right="0.7" top="0.75" bottom="0.75" header="0.3" footer="0.3"/>
  <pageSetup orientation="portrait" r:id="rId1"/>
  <headerFooter>
    <oddFooter>&amp;C&amp;KE84E1B&amp;10&amp;"Calibri"&amp;BThis document has been classified as Confidential | سري by ADHDS. Please handle accordingly.&amp;B</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7C5C-A8FC-A348-A630-D7C68EA28F24}">
  <sheetPr>
    <tabColor rgb="FF00B0F0"/>
  </sheetPr>
  <dimension ref="B2:N21"/>
  <sheetViews>
    <sheetView showGridLines="0" zoomScaleNormal="100" workbookViewId="0">
      <selection activeCell="C9" sqref="C9"/>
    </sheetView>
  </sheetViews>
  <sheetFormatPr defaultColWidth="11" defaultRowHeight="15.75" x14ac:dyDescent="0.25"/>
  <cols>
    <col min="1" max="1" width="3.625" customWidth="1"/>
    <col min="2" max="2" width="40.375" customWidth="1"/>
    <col min="3" max="3" width="11" style="2" customWidth="1"/>
    <col min="4" max="4" width="4.375" customWidth="1"/>
    <col min="5" max="5" width="2.5" customWidth="1"/>
    <col min="14" max="14" width="17.375" customWidth="1"/>
  </cols>
  <sheetData>
    <row r="2" spans="2:3" ht="96" customHeight="1" x14ac:dyDescent="0.25"/>
    <row r="3" spans="2:3" ht="30.75" customHeight="1" x14ac:dyDescent="0.25">
      <c r="B3" s="21" t="s">
        <v>85</v>
      </c>
      <c r="C3" s="22" t="e">
        <f>(C8+(C9/2))/C13</f>
        <v>#DIV/0!</v>
      </c>
    </row>
    <row r="4" spans="2:3" ht="27.75" customHeight="1" x14ac:dyDescent="0.25">
      <c r="B4" s="21" t="s">
        <v>90</v>
      </c>
      <c r="C4" s="23">
        <f>C11</f>
        <v>0</v>
      </c>
    </row>
    <row r="6" spans="2:3" x14ac:dyDescent="0.25">
      <c r="B6" s="1"/>
    </row>
    <row r="7" spans="2:3" x14ac:dyDescent="0.25">
      <c r="B7" s="14" t="s">
        <v>66</v>
      </c>
      <c r="C7" s="15" t="s">
        <v>89</v>
      </c>
    </row>
    <row r="8" spans="2:3" x14ac:dyDescent="0.25">
      <c r="B8" s="12" t="s">
        <v>64</v>
      </c>
      <c r="C8" s="13">
        <f>COUNTIF(Evaluation!E4:E44,'Evaluation Summary'!B8)</f>
        <v>0</v>
      </c>
    </row>
    <row r="9" spans="2:3" x14ac:dyDescent="0.25">
      <c r="B9" s="12" t="s">
        <v>65</v>
      </c>
      <c r="C9" s="13">
        <f>COUNTIF(Evaluation!E4:E44, 'Evaluation Summary'!B9)</f>
        <v>0</v>
      </c>
    </row>
    <row r="10" spans="2:3" x14ac:dyDescent="0.25">
      <c r="B10" s="12" t="s">
        <v>67</v>
      </c>
      <c r="C10" s="13">
        <f>COUNTIF(Evaluation!E4:E44, 'Evaluation Summary'!B10)</f>
        <v>0</v>
      </c>
    </row>
    <row r="11" spans="2:3" x14ac:dyDescent="0.25">
      <c r="B11" s="12" t="s">
        <v>63</v>
      </c>
      <c r="C11" s="13">
        <f>COUNTIF(Evaluation!E4:E44, 'Evaluation Summary'!B11)</f>
        <v>0</v>
      </c>
    </row>
    <row r="12" spans="2:3" x14ac:dyDescent="0.25">
      <c r="C12"/>
    </row>
    <row r="13" spans="2:3" x14ac:dyDescent="0.25">
      <c r="B13" s="12" t="s">
        <v>91</v>
      </c>
      <c r="C13" s="13">
        <f>SUM(C8:C10)</f>
        <v>0</v>
      </c>
    </row>
    <row r="14" spans="2:3" x14ac:dyDescent="0.25">
      <c r="C14"/>
    </row>
    <row r="17" spans="2:14" x14ac:dyDescent="0.25">
      <c r="B17" s="16" t="s">
        <v>92</v>
      </c>
      <c r="C17" s="44" t="s">
        <v>93</v>
      </c>
      <c r="D17" s="44"/>
      <c r="E17" s="44"/>
      <c r="F17" s="44"/>
      <c r="G17" s="44"/>
      <c r="H17" s="44"/>
      <c r="I17" s="44"/>
      <c r="J17" s="44"/>
      <c r="K17" s="44"/>
      <c r="L17" s="44"/>
      <c r="M17" s="44"/>
      <c r="N17" s="44"/>
    </row>
    <row r="18" spans="2:14" x14ac:dyDescent="0.25">
      <c r="B18" s="17" t="s">
        <v>64</v>
      </c>
      <c r="C18" s="45" t="s">
        <v>94</v>
      </c>
      <c r="D18" s="45"/>
      <c r="E18" s="45"/>
      <c r="F18" s="45"/>
      <c r="G18" s="45"/>
      <c r="H18" s="45"/>
      <c r="I18" s="45"/>
      <c r="J18" s="45"/>
      <c r="K18" s="45"/>
      <c r="L18" s="45"/>
      <c r="M18" s="45"/>
      <c r="N18" s="45"/>
    </row>
    <row r="19" spans="2:14" x14ac:dyDescent="0.25">
      <c r="B19" s="18" t="s">
        <v>65</v>
      </c>
      <c r="C19" s="45" t="s">
        <v>95</v>
      </c>
      <c r="D19" s="45"/>
      <c r="E19" s="45"/>
      <c r="F19" s="45"/>
      <c r="G19" s="45"/>
      <c r="H19" s="45"/>
      <c r="I19" s="45"/>
      <c r="J19" s="45"/>
      <c r="K19" s="45"/>
      <c r="L19" s="45"/>
      <c r="M19" s="45"/>
      <c r="N19" s="45"/>
    </row>
    <row r="20" spans="2:14" x14ac:dyDescent="0.25">
      <c r="B20" s="19" t="s">
        <v>67</v>
      </c>
      <c r="C20" s="45" t="s">
        <v>96</v>
      </c>
      <c r="D20" s="45"/>
      <c r="E20" s="45"/>
      <c r="F20" s="45"/>
      <c r="G20" s="45"/>
      <c r="H20" s="45"/>
      <c r="I20" s="45"/>
      <c r="J20" s="45"/>
      <c r="K20" s="45"/>
      <c r="L20" s="45"/>
      <c r="M20" s="45"/>
      <c r="N20" s="45"/>
    </row>
    <row r="21" spans="2:14" x14ac:dyDescent="0.25">
      <c r="B21" s="20" t="s">
        <v>63</v>
      </c>
      <c r="C21" s="45" t="s">
        <v>97</v>
      </c>
      <c r="D21" s="45"/>
      <c r="E21" s="45"/>
      <c r="F21" s="45"/>
      <c r="G21" s="45"/>
      <c r="H21" s="45"/>
      <c r="I21" s="45"/>
      <c r="J21" s="45"/>
      <c r="K21" s="45"/>
      <c r="L21" s="45"/>
      <c r="M21" s="45"/>
      <c r="N21" s="45"/>
    </row>
  </sheetData>
  <sheetProtection algorithmName="SHA-512" hashValue="Fp7sneiOA9UkI65QW69vCfY0VLLqtwPx41o4gSW+NOJ585vAY+D/bK2kD6qAGFzN+H31+Z41X6R3LiHAwfkyaw==" saltValue="7V/gOHClKAHF8LAah3TA0Q==" spinCount="100000" sheet="1" objects="1" scenarios="1"/>
  <mergeCells count="5">
    <mergeCell ref="C17:N17"/>
    <mergeCell ref="C18:N18"/>
    <mergeCell ref="C19:N19"/>
    <mergeCell ref="C20:N20"/>
    <mergeCell ref="C21:N21"/>
  </mergeCells>
  <conditionalFormatting sqref="C3">
    <cfRule type="dataBar" priority="1">
      <dataBar>
        <cfvo type="min"/>
        <cfvo type="max"/>
        <color theme="9" tint="0.39997558519241921"/>
      </dataBar>
      <extLst>
        <ext xmlns:x14="http://schemas.microsoft.com/office/spreadsheetml/2009/9/main" uri="{B025F937-C7B1-47D3-B67F-A62EFF666E3E}">
          <x14:id>{A351F220-5621-46F1-99DF-DD247EC86509}</x14:id>
        </ext>
      </extLst>
    </cfRule>
  </conditionalFormatting>
  <pageMargins left="0.7" right="0.7" top="0.75" bottom="0.75" header="0.3" footer="0.3"/>
  <pageSetup orientation="portrait" r:id="rId1"/>
  <headerFooter>
    <oddFooter>&amp;C&amp;KE84E1B&amp;10&amp;"Calibri"&amp;BThis document has been classified as Confidential | سري by ADHDS. Please handle accordingly.&amp;B</oddFooter>
  </headerFooter>
  <drawing r:id="rId2"/>
  <extLst>
    <ext xmlns:x14="http://schemas.microsoft.com/office/spreadsheetml/2009/9/main" uri="{78C0D931-6437-407d-A8EE-F0AAD7539E65}">
      <x14:conditionalFormattings>
        <x14:conditionalFormatting xmlns:xm="http://schemas.microsoft.com/office/excel/2006/main">
          <x14:cfRule type="dataBar" id="{A351F220-5621-46F1-99DF-DD247EC86509}">
            <x14:dataBar minLength="0" maxLength="100" border="1" negativeBarBorderColorSameAsPositive="0">
              <x14:cfvo type="autoMin"/>
              <x14:cfvo type="autoMax"/>
              <x14:borderColor theme="9" tint="0.39997558519241921"/>
              <x14:negativeFillColor rgb="FFFF0000"/>
              <x14:negativeBorderColor rgb="FFFF0000"/>
              <x14:axisColor rgb="FF000000"/>
            </x14:dataBar>
          </x14:cfRule>
          <xm:sqref>C3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A7A5F-B360-403E-B77C-48741DC580C0}">
  <dimension ref="A2:B3"/>
  <sheetViews>
    <sheetView workbookViewId="0"/>
  </sheetViews>
  <sheetFormatPr defaultRowHeight="15.75" x14ac:dyDescent="0.25"/>
  <sheetData>
    <row r="2" spans="1:2" x14ac:dyDescent="0.25">
      <c r="A2" t="s">
        <v>119</v>
      </c>
      <c r="B2" t="s">
        <v>120</v>
      </c>
    </row>
    <row r="3" spans="1:2" x14ac:dyDescent="0.25">
      <c r="A3" t="s">
        <v>121</v>
      </c>
      <c r="B3" t="s">
        <v>122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c4894168-86a8-45ce-9c5c-1e9b88c5c2a5">
      <UserInfo>
        <DisplayName>Omar Osman</DisplayName>
        <AccountId>646</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F59CD7AE7B75E4F9FE9746D2DBE3237" ma:contentTypeVersion="4" ma:contentTypeDescription="Create a new document." ma:contentTypeScope="" ma:versionID="b4c91fa4f86e7012044ec33713b71c8d">
  <xsd:schema xmlns:xsd="http://www.w3.org/2001/XMLSchema" xmlns:xs="http://www.w3.org/2001/XMLSchema" xmlns:p="http://schemas.microsoft.com/office/2006/metadata/properties" xmlns:ns2="85d87725-5199-4dbc-b864-ace4eb28c4c2" xmlns:ns3="c4894168-86a8-45ce-9c5c-1e9b88c5c2a5" targetNamespace="http://schemas.microsoft.com/office/2006/metadata/properties" ma:root="true" ma:fieldsID="b5850a3e8f7629f873ff052d299619fa" ns2:_="" ns3:_="">
    <xsd:import namespace="85d87725-5199-4dbc-b864-ace4eb28c4c2"/>
    <xsd:import namespace="c4894168-86a8-45ce-9c5c-1e9b88c5c2a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d87725-5199-4dbc-b864-ace4eb28c4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4894168-86a8-45ce-9c5c-1e9b88c5c2a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E074E7-D196-419C-A9AE-D45183FF83EB}">
  <ds:schemaRefs>
    <ds:schemaRef ds:uri="http://www.w3.org/XML/1998/namespace"/>
    <ds:schemaRef ds:uri="85d87725-5199-4dbc-b864-ace4eb28c4c2"/>
    <ds:schemaRef ds:uri="http://schemas.microsoft.com/office/2006/documentManagement/types"/>
    <ds:schemaRef ds:uri="http://schemas.microsoft.com/office/infopath/2007/PartnerControls"/>
    <ds:schemaRef ds:uri="http://schemas.openxmlformats.org/package/2006/metadata/core-properties"/>
    <ds:schemaRef ds:uri="c4894168-86a8-45ce-9c5c-1e9b88c5c2a5"/>
    <ds:schemaRef ds:uri="http://purl.org/dc/terms/"/>
    <ds:schemaRef ds:uri="http://schemas.microsoft.com/office/2006/metadata/properties"/>
    <ds:schemaRef ds:uri="http://purl.org/dc/dcmitype/"/>
    <ds:schemaRef ds:uri="http://purl.org/dc/elements/1.1/"/>
  </ds:schemaRefs>
</ds:datastoreItem>
</file>

<file path=customXml/itemProps2.xml><?xml version="1.0" encoding="utf-8"?>
<ds:datastoreItem xmlns:ds="http://schemas.openxmlformats.org/officeDocument/2006/customXml" ds:itemID="{52363E6A-4658-467A-A1C5-E1DD390F7025}">
  <ds:schemaRefs>
    <ds:schemaRef ds:uri="http://schemas.microsoft.com/sharepoint/v3/contenttype/forms"/>
  </ds:schemaRefs>
</ds:datastoreItem>
</file>

<file path=customXml/itemProps3.xml><?xml version="1.0" encoding="utf-8"?>
<ds:datastoreItem xmlns:ds="http://schemas.openxmlformats.org/officeDocument/2006/customXml" ds:itemID="{01F1357B-5336-4B12-8985-B019CD78EF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d87725-5199-4dbc-b864-ace4eb28c4c2"/>
    <ds:schemaRef ds:uri="c4894168-86a8-45ce-9c5c-1e9b88c5c2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Provider Info</vt:lpstr>
      <vt:lpstr>Evaluation</vt:lpstr>
      <vt:lpstr>Evaluation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Petersen</dc:creator>
  <cp:lastModifiedBy>Christine Joy Domingo</cp:lastModifiedBy>
  <dcterms:created xsi:type="dcterms:W3CDTF">2019-03-18T06:57:41Z</dcterms:created>
  <dcterms:modified xsi:type="dcterms:W3CDTF">2024-04-22T10:46:05Z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0x0101005F59CD7AE7B75E4F9FE9746D2DBE3237</vt:lpwstr>
  </property>
  <property fmtid="{D5CDD505-2E9C-101B-9397-08002B2CF9AE}" pid="3" name="GVData">
    <vt:lpwstr>ew0KICAidGFnc2V0X2YxNGZjMWYxXzg5NTBfNDBkNV84YTI5XzQ1OTA5ZGE5NDdkNl9nZHByL3BpaSI6ICJGYWxzZSIsDQogICJ0YWdzZXRfZjE0ZmMxZjFfODk1MF80MGQ1XzhhMjlfNDU5MDlkYTk0N2Q2X2hpcGFhL3BoaSI6ICJGYWxzZSIsDQogICJ0YWdzZXRf</vt:lpwstr>
  </property>
  <property fmtid="{D5CDD505-2E9C-101B-9397-08002B2CF9AE}" pid="4" name="GVData0">
    <vt:lpwstr>ZTE2NDA5YTdfMTcwMF80MTUzXzkwOTBfMzk1NWJjMmYwYWU4X2NsYXNzaWZpY2F0aW9uIjogIkNvbmZpZGVudGlhbCIsDQogICJkb2NJRCI6ICI2MTViMjczMS1hN2IyLTQzZGQtYWYyMy03ZDY0NTA3ZDgyMGEiLA0KICAiT1MiOiAiV2luZG93cyIsDQogICJPcHRp</vt:lpwstr>
  </property>
  <property fmtid="{D5CDD505-2E9C-101B-9397-08002B2CF9AE}" pid="5" name="3rdPartyFooter">
    <vt:lpwstr/>
  </property>
  <property fmtid="{D5CDD505-2E9C-101B-9397-08002B2CF9AE}" pid="6" name="Footer">
    <vt:lpwstr>{"Left":"","Center":"This document has been classified as Confidential | سري by ADHDS. Please handle accordingly.","Right":""}</vt:lpwstr>
  </property>
  <property fmtid="{D5CDD505-2E9C-101B-9397-08002B2CF9AE}" pid="7" name="GVData1">
    <vt:lpwstr>b25zIjogIntcdTAwMjJQYWdlTGF5b3V0Q29uZmlndXJhdGlvblx1MDAyMjp7XHUwMDIyQWx3YXlzU2hvd1BvcHVwXHUwMDIyOmZhbHNlLFx1MDAyMkhhc0Fsd2F5c1Nob3dQb3B1cFx1MDAyMjp0cnVlLFx1MDAyMk9wdGlvbnNcdTAwMjI6MCxcdTAwMjJUcmlnZ2Vy</vt:lpwstr>
  </property>
  <property fmtid="{D5CDD505-2E9C-101B-9397-08002B2CF9AE}" pid="8" name="ClassificationTagSetId">
    <vt:lpwstr>e16409a7-1700-4153-9090-3955bc2f0ae8</vt:lpwstr>
  </property>
  <property fmtid="{D5CDD505-2E9C-101B-9397-08002B2CF9AE}" pid="9" name="Classification">
    <vt:lpwstr>Confidential | سري</vt:lpwstr>
  </property>
  <property fmtid="{D5CDD505-2E9C-101B-9397-08002B2CF9AE}" pid="10" name="ComplianceTagSetId">
    <vt:lpwstr>f14fc1f1-8950-40d5-8a29-45909da947d6</vt:lpwstr>
  </property>
  <property fmtid="{D5CDD505-2E9C-101B-9397-08002B2CF9AE}" pid="11" name="FileId">
    <vt:lpwstr>615b2731-a7b2-43dd-af23-7d64507d820a</vt:lpwstr>
  </property>
  <property fmtid="{D5CDD505-2E9C-101B-9397-08002B2CF9AE}" pid="12" name="UserId">
    <vt:lpwstr>cDomingo</vt:lpwstr>
  </property>
  <property fmtid="{D5CDD505-2E9C-101B-9397-08002B2CF9AE}" pid="13" name="TagDateTime">
    <vt:lpwstr>2024-04-22T10:46:05Z</vt:lpwstr>
  </property>
  <property fmtid="{D5CDD505-2E9C-101B-9397-08002B2CF9AE}" pid="14" name="GVData2">
    <vt:lpwstr>UGFnZXNOdW1iZXJcdTAwMjI6MH0sXHUwMDIyQXBwbHlGcm9tUGFnZVx1MDAyMjowLFx1MDAyMkFwcGx5VG9QYWdlXHUwMDIyOjAsXHUwMDIySGVhZGVyRW5hYmxlZFx1MDAyMjpmYWxzZSxcdTAwMjJIZWFkZXJcdTAwMjI6XHUwMDIyXHUwMDIyLFx1MDAyMkhlYWRl</vt:lpwstr>
  </property>
  <property fmtid="{D5CDD505-2E9C-101B-9397-08002B2CF9AE}" pid="15" name="GVData3">
    <vt:lpwstr>cnNcdTAwMjI6W1x1MDAyMlx1MDAyMl0sXHUwMDIySGVhZGVyVHlwZVx1MDAyMjoyLFx1MDAyMkhlYWRlclR5cGVzQWxsb3dlZFx1MDAyMjpbMl0sXHUwMDIySGVhZGVyVXBkYXRlVHlwZVx1MDAyMjowLFx1MDAyMkZvb3RlckVuYWJsZWRcdTAwMjI6dHJ1ZSxcdTAw</vt:lpwstr>
  </property>
  <property fmtid="{D5CDD505-2E9C-101B-9397-08002B2CF9AE}" pid="16" name="GVData4">
    <vt:lpwstr>MjJGb290ZXJcdTAwMjI6XHUwMDIyXHUwMDNDc3BhbiBzdHlsZT1cXFx1MDAyMmNvbG9yOiNlODRlMWI7XFxcdTAwMjJcdTAwM0VcdTAwM0NzcGFuIHN0eWxlID0gXFxcdTAwMjJjb2xvcjojZTg0ZTFiO1xcXHUwMDIyXHUwMDNFXHUwMDNDc3Ryb25nXHUwMDNFVGhp</vt:lpwstr>
  </property>
  <property fmtid="{D5CDD505-2E9C-101B-9397-08002B2CF9AE}" pid="17" name="GVData5">
    <vt:lpwstr>cyBkb2N1bWVudCBoYXMgYmVlbiBjbGFzc2lmaWVkIGFzIENvbmZpZGVudGlhbCB8IFx1MDYzM1x1MDYzMVx1MDY0QSBieSBBREhEUy4gUGxlYXNlIGhhbmRsZSBhY2NvcmRpbmdseS5cdTAwM0Mvc3Ryb25nXHUwMDNFXHUwMDNDL3NwYW5cdTAwM0VcdTAwM0Mvc3Bh</vt:lpwstr>
  </property>
  <property fmtid="{D5CDD505-2E9C-101B-9397-08002B2CF9AE}" pid="18" name="GVData6">
    <vt:lpwstr>blx1MDAzRVx1MDAyMixcdTAwMjJGb290ZXJzXHUwMDIyOltcdTAwMjJcdTAwM0NzcGFuIHN0eWxlPVxcXHUwMDIyY29sb3I6I2U4NGUxYjtcXFx1MDAyMlx1MDAzRVx1MDAzQ3NwYW4gc3R5bGUgPSBcXFx1MDAyMmNvbG9yOiNlODRlMWI7XFxcdTAwMjJcdTAwM0Vc</vt:lpwstr>
  </property>
  <property fmtid="{D5CDD505-2E9C-101B-9397-08002B2CF9AE}" pid="19" name="GVData7">
    <vt:lpwstr>dTAwM0NzdHJvbmdcdTAwM0VUaGlzIGRvY3VtZW50IGhhcyBiZWVuIGNsYXNzaWZpZWQgYXMgQ29uZmlkZW50aWFsIHwgXHUwNjMzXHUwNjMxXHUwNjRBIGJ5IEFESERTLiBQbGVhc2UgaGFuZGxlIGFjY29yZGluZ2x5Llx1MDAzQy9zdHJvbmdcdTAwM0VcdTAwM0Mv</vt:lpwstr>
  </property>
  <property fmtid="{D5CDD505-2E9C-101B-9397-08002B2CF9AE}" pid="20" name="GVData8">
    <vt:lpwstr>c3Bhblx1MDAzRVx1MDAzQy9zcGFuXHUwMDNFXHUwMDIyXSxcdTAwMjJGb290ZXJUeXBlXHUwMDIyOjAsXHUwMDIyRm9vdGVyVHlwZXNBbGxvd2VkXHUwMDIyOlswLDFdLFx1MDAyMkZvb3RlclVwZGF0ZVR5cGVcdTAwMjI6MSxcdTAwMjJXYXRlcm1hcmtcdTAwMjI6</vt:lpwstr>
  </property>
  <property fmtid="{D5CDD505-2E9C-101B-9397-08002B2CF9AE}" pid="21" name="GVData9">
    <vt:lpwstr>bnVsbCxcdTAwMjJXYXRlcm1hcmtFbmFibGVkXHUwMDIyOmZhbHNlLFx1MDAyMlNob3VsZFdyaXRlV2F0ZXJtYXJrXHUwMDIyOmZhbHNlLFx1MDAyMldhdGVybWFya1VwZGF0ZVR5cGVcdTAwMjI6MCxcdTAwMjJQb3dlcnBvaW50VGl0bGVcdTAwMjI6bnVsbCxcdTAw</vt:lpwstr>
  </property>
  <property fmtid="{D5CDD505-2E9C-101B-9397-08002B2CF9AE}" pid="22" name="GVData10">
    <vt:lpwstr>MjJQb3dlcnBvaW50U3ViaXRsZVx1MDAyMjpudWxsfSIsDQogICJTdGF0ZSI6ICJ7XHUwMDIyRmlyc3RQYWdlRGlmZmVyZW50XHUwMDIyOmZhbHNlLFx1MDAyMkRpZmZlcmVudE9kZEFuZEV2ZW5QYWdlc1x1MDAyMjpmYWxzZSxcdTAwMjJQYWdlQ291bnRcdTAwMjI6</vt:lpwstr>
  </property>
  <property fmtid="{D5CDD505-2E9C-101B-9397-08002B2CF9AE}" pid="23" name="GVData11">
    <vt:lpwstr>NCxcdTAwMjJIZWFkZXJNZXRhZGF0YVx1MDAyMjpcdTAwMjJcdTAwMjIsXHUwMDIyVGhpcmRQYXJ0eUhlYWRlck1ldGFkYXRhXHUwMDIyOlx1MDAyMlx1MDAyMixcdTAwMjJHVkhlYWRlckV4aXN0c1x1MDAyMjpmYWxzZSxcdTAwMjJOb25HVkhlYWRlckV4aXN0c1x1</vt:lpwstr>
  </property>
  <property fmtid="{D5CDD505-2E9C-101B-9397-08002B2CF9AE}" pid="24" name="GVData12">
    <vt:lpwstr>MDAyMjpmYWxzZSxcdTAwMjJDb3JuZXJIZWFkZXJFeGlzdHNcdTAwMjI6ZmFsc2UsXHUwMDIyTm9uR1ZIZWFkZXJTaGFwZUV4aXN0c1x1MDAyMjpmYWxzZSxcdTAwMjJUaGlyZFBhcnR5SGVhZGVyc1x1MDAyMjpbXSxcdTAwMjJGb290ZXJNZXRhZGF0YVx1MDAyMjpc</vt:lpwstr>
  </property>
  <property fmtid="{D5CDD505-2E9C-101B-9397-08002B2CF9AE}" pid="25" name="GVData13">
    <vt:lpwstr>dTAwMjJ7XFxcdTAwMjJMZWZ0XFxcdTAwMjI6XFxcdTAwMjJcXFx1MDAyMixcXFx1MDAyMkNlbnRlclxcXHUwMDIyOlxcXHUwMDIyVGhpcyBkb2N1bWVudCBoYXMgYmVlbiBjbGFzc2lmaWVkIGFzIENvbmZpZGVudGlhbCB8IFx1MDYzM1x1MDYzMVx1MDY0QSBieSBB</vt:lpwstr>
  </property>
  <property fmtid="{D5CDD505-2E9C-101B-9397-08002B2CF9AE}" pid="26" name="GVData14">
    <vt:lpwstr>REhEUy4gUGxlYXNlIGhhbmRsZSBhY2NvcmRpbmdseS5cXFx1MDAyMixcXFx1MDAyMlJpZ2h0XFxcdTAwMjI6XFxcdTAwMjJcXFx1MDAyMn1cdTAwMjIsXHUwMDIyVGhpcmRQYXJ0eUZvb3Rlck1ldGFkYXRhXHUwMDIyOlx1MDAyMlx1MDAyMixcdTAwMjJHVkZvb3Rl</vt:lpwstr>
  </property>
  <property fmtid="{D5CDD505-2E9C-101B-9397-08002B2CF9AE}" pid="27" name="GVData15">
    <vt:lpwstr>ckV4aXN0c1x1MDAyMjp0cnVlLFx1MDAyMk5vbkdWRm9vdGVyRXhpc3RzXHUwMDIyOmZhbHNlLFx1MDAyMkNvcm5lckZvb3RlckV4aXN0c1x1MDAyMjpmYWxzZSxcdTAwMjJOb25HVkZvb3RlclNoYXBlRXhpc3RzXHUwMDIyOmZhbHNlLFx1MDAyMlRoaXJkUGFydHlG</vt:lpwstr>
  </property>
  <property fmtid="{D5CDD505-2E9C-101B-9397-08002B2CF9AE}" pid="28" name="GVData16">
    <vt:lpwstr>b290ZXJzXHUwMDIyOltdLFx1MDAyMldhdGVybWFya01ldGFkYXRhXHUwMDIyOlx1MDAyMlx1MDAyMixcdTAwMjJXYXRlcm1hcmtFeGlzdHNcdTAwMjI6ZmFsc2UsXHUwMDIyUG93ZXJwb2ludFRpdGxlTWV0YWRhdGFcdTAwMjI6bnVsbCxcdTAwMjJQb3dlcnBvaW50</vt:lpwstr>
  </property>
  <property fmtid="{D5CDD505-2E9C-101B-9397-08002B2CF9AE}" pid="29" name="GVData17">
    <vt:lpwstr>U3VidGl0bGVNZXRhZGF0YVx1MDAyMjpudWxsLFx1MDAyMlRoaXJkUGFydHlNZXRhZGF0YUZvdW5kXHUwMDIyOmZhbHNlfSINCn0=</vt:lpwstr>
  </property>
  <property fmtid="{D5CDD505-2E9C-101B-9397-08002B2CF9AE}" pid="30" name="GVData18">
    <vt:lpwstr>(end)</vt:lpwstr>
  </property>
</Properties>
</file>